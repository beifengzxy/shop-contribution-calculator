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da481192c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58d915704db464a"/>
    <x:sheet xmlns:r="http://schemas.openxmlformats.org/officeDocument/2006/relationships" name="场景测算" sheetId="2" r:id="R2549e7b44b3e4eca"/>
    <x:sheet xmlns:r="http://schemas.openxmlformats.org/officeDocument/2006/relationships" name="示例" sheetId="3" r:id="Rbcbe4dcee3734c05"/>
    <x:sheet xmlns:r="http://schemas.openxmlformats.org/officeDocument/2006/relationships" name="填表前归集" sheetId="4" r:id="R1d057f2d82bd4c8f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6">
    <numFmt numFmtId="200" formatCode="0.0%"/>
    <numFmt numFmtId="201" formatCode="#,##0.00;[Red]-#,##0.00;0.00"/>
    <numFmt numFmtId="202" formatCode="0.00%"/>
    <numFmt numFmtId="203" formatCode="0.00"/>
    <numFmt numFmtId="204" formatCode="0.0000"/>
    <numFmt numFmtId="205" formatCode="0"/>
  </numFmts>
  <fonts count="12">
    <font>
      <sz val="11"/>
      <name val="Carlito"/>
    </font>
    <font>
      <sz val="11"/>
      <color rgb="FF243144"/>
      <name val="Helvetica Neue"/>
    </font>
    <font>
      <b/>
      <sz val="17"/>
      <color rgb="FF243144"/>
      <name val="Helvetica Neue"/>
    </font>
    <font>
      <i/>
      <sz val="10"/>
      <color rgb="FF5B6470"/>
      <name val="Helvetica Neue"/>
    </font>
    <font>
      <b/>
      <sz val="11"/>
      <color rgb="FFFFFFFF"/>
      <name val="Helvetica Neue"/>
    </font>
    <font>
      <b/>
      <sz val="11"/>
      <color rgb="FF283B55"/>
      <name val="Helvetica Neue"/>
    </font>
    <font>
      <b/>
      <sz val="11"/>
      <color rgb="FF243144"/>
      <name val="Helvetica Neue"/>
    </font>
    <font>
      <b/>
      <sz val="14"/>
      <color rgb="FF243144"/>
      <name val="Helvetica Neue"/>
    </font>
    <font>
      <sz val="10"/>
      <color rgb="FF5B6470"/>
      <name val="Helvetica Neue"/>
    </font>
    <font>
      <b/>
      <sz val="10"/>
      <color rgb="FF5B6470"/>
      <name val="Helvetica Neue"/>
    </font>
    <font>
      <sz val="10"/>
      <color rgb="FFA4262C"/>
      <name val="Helvetica Neue"/>
    </font>
    <font>
      <b/>
      <sz val="16"/>
      <color rgb="FF243144"/>
      <name val="Helvetica Neue"/>
    </font>
  </fonts>
  <fills count="9">
    <fill>
      <patternFill patternType="none"/>
    </fill>
    <fill>
      <patternFill patternType="gray125"/>
    </fill>
    <fill>
      <patternFill patternType="solid">
        <fgColor rgb="FF283B55"/>
      </patternFill>
    </fill>
    <fill>
      <patternFill patternType="solid">
        <fgColor rgb="FFEEF2F6"/>
      </patternFill>
    </fill>
    <fill>
      <patternFill patternType="solid">
        <fgColor rgb="FFFFF2C6"/>
      </patternFill>
    </fill>
    <fill>
      <patternFill patternType="solid">
        <fgColor rgb="FFEEF2F6"/>
      </patternFill>
    </fill>
    <fill>
      <patternFill patternType="solid">
        <fgColor rgb="FFEEF2F6"/>
      </patternFill>
    </fill>
    <fill>
      <patternFill patternType="solid">
        <fgColor rgb="FF283B55"/>
      </patternFill>
    </fill>
    <fill>
      <patternFill patternType="solid">
        <fgColor rgb="FFFFF2C6"/>
      </patternFill>
    </fill>
  </fills>
  <borders count="9">
    <border/>
    <border>
      <bottom style="thin">
        <color rgb="FFCBD3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CBD3DC"/>
      </left>
      <top style="thin">
        <color rgb="FFCBD3DC"/>
      </top>
      <bottom style="thin">
        <color rgb="FFCBD3DC"/>
      </bottom>
    </border>
    <border>
      <top style="thin">
        <color rgb="FFCBD3DC"/>
      </top>
      <bottom style="thin">
        <color rgb="FFCBD3DC"/>
      </bottom>
    </border>
    <border>
      <right style="thin">
        <color rgb="FFCBD3DC"/>
      </right>
      <top style="thin">
        <color rgb="FFCBD3DC"/>
      </top>
      <bottom style="thin">
        <color rgb="FFCBD3DC"/>
      </bottom>
    </border>
    <border>
      <top style="thin">
        <color rgb="FFCBD3DC"/>
      </top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5" fillId="3" borderId="5" xfId="0" applyNumberFormat="1" applyFont="1" applyFill="1" applyBorder="1" applyAlignment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 wrapText="1"/>
    </xf>
    <xf numFmtId="200" fontId="1" fillId="4" borderId="0" xfId="0" applyNumberFormat="1" applyFont="1" applyFill="1" applyBorder="1" applyAlignment="1">
      <alignment horizontal="right" vertical="center"/>
    </xf>
    <xf numFmtId="201" fontId="1" fillId="4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horizontal="right" vertical="center"/>
    </xf>
    <xf numFmtId="0" fontId="1" fillId="0" borderId="8" xfId="0" applyNumberFormat="1" applyFont="1" applyFill="1" applyBorder="1" applyAlignment="1">
      <alignment vertical="center"/>
    </xf>
    <xf numFmtId="201" fontId="1" fillId="0" borderId="8" xfId="0" applyNumberFormat="1" applyFont="1" applyFill="1" applyBorder="1" applyAlignment="1">
      <alignment horizontal="right" vertical="center"/>
    </xf>
    <xf numFmtId="0" fontId="6" fillId="0" borderId="8" xfId="0" applyNumberFormat="1" applyFont="1" applyFill="1" applyBorder="1" applyAlignment="1">
      <alignment vertical="center"/>
    </xf>
    <xf numFmtId="201" fontId="6" fillId="0" borderId="8" xfId="0" applyNumberFormat="1" applyFont="1" applyFill="1" applyBorder="1" applyAlignment="1">
      <alignment horizontal="right" vertical="center"/>
    </xf>
    <xf numFmtId="201" fontId="7" fillId="0" borderId="8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vertical="center"/>
    </xf>
    <xf numFmtId="0" fontId="9" fillId="3" borderId="7" xfId="0" applyNumberFormat="1" applyFont="1" applyFill="1" applyBorder="1" applyAlignment="1">
      <alignment vertical="center"/>
    </xf>
    <xf numFmtId="0" fontId="8" fillId="0" borderId="8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 wrapText="1"/>
    </xf>
    <xf numFmtId="0" fontId="9" fillId="3" borderId="7" xfId="0" applyNumberFormat="1" applyFont="1" applyFill="1" applyBorder="1" applyAlignment="1">
      <alignment vertical="center" wrapText="1"/>
    </xf>
    <xf numFmtId="0" fontId="8" fillId="0" borderId="8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8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202" fontId="6" fillId="0" borderId="8" xfId="0" applyNumberFormat="1" applyFont="1" applyFill="1" applyBorder="1" applyAlignment="1">
      <alignment vertical="center" wrapText="1"/>
    </xf>
    <xf numFmtId="202" fontId="6" fillId="0" borderId="8" xfId="0" applyNumberFormat="1" applyFont="1" applyFill="1" applyBorder="1" applyAlignment="1">
      <alignment horizontal="right" vertical="center" wrapText="1"/>
    </xf>
    <xf numFmtId="0" fontId="1" fillId="4" borderId="0" xfId="0" applyNumberFormat="1" applyFont="1" applyFill="1" applyBorder="1" applyAlignment="1">
      <alignment horizontal="left" vertical="center" wrapText="1"/>
    </xf>
    <xf numFmtId="200" fontId="1" fillId="4" borderId="0" xfId="0" applyNumberFormat="1" applyFont="1" applyFill="1" applyBorder="1" applyAlignment="1">
      <alignment horizontal="right" vertical="center"/>
    </xf>
    <xf numFmtId="201" fontId="1" fillId="4" borderId="0" xfId="0" applyNumberFormat="1" applyFont="1" applyFill="1" applyBorder="1" applyAlignment="1">
      <alignment horizontal="right" vertical="center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1" fillId="0" borderId="0" xfId="0" applyNumberFormat="1" applyFont="1" applyFill="1" applyBorder="1" applyAlignment="1">
      <alignment horizontal="right" vertical="center" wrapText="1"/>
    </xf>
    <xf numFmtId="203" fontId="1" fillId="0" borderId="0" xfId="0" applyNumberFormat="1" applyFont="1" applyFill="1" applyBorder="1" applyAlignment="1">
      <alignment horizontal="right"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204" fontId="1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vertical="center" wrapText="1"/>
    </xf>
    <xf numFmtId="203" fontId="6" fillId="0" borderId="0" xfId="0" applyNumberFormat="1" applyFont="1" applyFill="1" applyBorder="1" applyAlignment="1">
      <alignment horizontal="right" vertical="center" wrapText="1"/>
    </xf>
    <xf numFmtId="204" fontId="6" fillId="0" borderId="0" xfId="0" applyNumberFormat="1" applyFont="1" applyFill="1" applyBorder="1" applyAlignment="1">
      <alignment horizontal="right" vertical="center" wrapText="1"/>
    </xf>
    <xf numFmtId="0" fontId="1" fillId="6" borderId="0" xfId="0" applyNumberFormat="1" applyFont="1" applyFill="1" applyBorder="1" applyAlignment="1">
      <alignment vertical="center" wrapText="1"/>
    </xf>
    <xf numFmtId="203" fontId="1" fillId="6" borderId="0" xfId="0" applyNumberFormat="1" applyFont="1" applyFill="1" applyBorder="1" applyAlignment="1">
      <alignment horizontal="right" vertical="center" wrapText="1"/>
    </xf>
    <xf numFmtId="0" fontId="8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203" fontId="5" fillId="6" borderId="0" xfId="0" applyNumberFormat="1" applyFont="1" applyFill="1" applyBorder="1" applyAlignment="1">
      <alignment horizontal="right" vertical="center" wrapText="1"/>
    </xf>
    <xf numFmtId="203" fontId="1" fillId="8" borderId="0" xfId="0" applyNumberFormat="1" applyFont="1" applyFill="1" applyBorder="1" applyAlignment="1">
      <alignment horizontal="right" vertical="center" wrapText="1"/>
    </xf>
    <xf numFmtId="205" fontId="1" fillId="8" borderId="0" xfId="0" applyNumberFormat="1" applyFont="1" applyFill="1" applyBorder="1" applyAlignment="1">
      <alignment horizontal="right" vertical="center" wrapText="1"/>
    </xf>
    <xf numFmtId="205" fontId="1" fillId="0" borderId="0" xfId="0" applyNumberFormat="1" applyFont="1" applyFill="1" applyBorder="1" applyAlignment="1">
      <alignment horizontal="right" vertical="center" wrapText="1"/>
    </xf>
    <xf numFmtId="202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5" borderId="0" xfId="0" applyNumberFormat="1" applyFont="1" applyFill="1" applyBorder="1"/>
    <xf numFmtId="0" fontId="5" fillId="6" borderId="0" xfId="0" applyNumberFormat="1" applyFont="1" applyFill="1" applyBorder="1"/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horizontal="right" vertical="center"/>
    </xf>
    <xf numFmtId="0" fontId="5" fillId="3" borderId="5" xfId="0" applyNumberFormat="1" applyFont="1" applyFill="1" applyBorder="1" applyAlignment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9" fillId="3" borderId="7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horizontal="right" vertical="center"/>
    </xf>
    <xf numFmtId="0" fontId="6" fillId="0" borderId="8" xfId="0" applyNumberFormat="1" applyFont="1" applyFill="1" applyBorder="1" applyAlignment="1">
      <alignment vertical="center"/>
    </xf>
    <xf numFmtId="201" fontId="6" fillId="0" borderId="8" xfId="0" applyNumberFormat="1" applyFont="1" applyFill="1" applyBorder="1" applyAlignment="1">
      <alignment horizontal="right" vertical="center"/>
    </xf>
    <xf numFmtId="0" fontId="8" fillId="0" borderId="8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201" fontId="7" fillId="0" borderId="8" xfId="0" applyNumberFormat="1" applyFont="1" applyFill="1" applyBorder="1" applyAlignment="1">
      <alignment horizontal="right" vertical="center"/>
    </xf>
    <xf numFmtId="0" fontId="6" fillId="0" borderId="8" xfId="0" applyNumberFormat="1" applyFont="1" applyFill="1" applyBorder="1" applyAlignment="1">
      <alignment vertical="center" wrapText="1"/>
    </xf>
    <xf numFmtId="202" fontId="6" fillId="0" borderId="8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203" fontId="1" fillId="0" borderId="0" xfId="0" applyNumberFormat="1" applyFont="1" applyFill="1" applyBorder="1" applyAlignment="1">
      <alignment horizontal="right" vertical="center" wrapText="1"/>
    </xf>
    <xf numFmtId="202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204" fontId="1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vertical="center" wrapText="1"/>
    </xf>
    <xf numFmtId="203" fontId="6" fillId="0" borderId="0" xfId="0" applyNumberFormat="1" applyFont="1" applyFill="1" applyBorder="1" applyAlignment="1">
      <alignment horizontal="right" vertical="center" wrapText="1"/>
    </xf>
    <xf numFmtId="204" fontId="6" fillId="0" borderId="0" xfId="0" applyNumberFormat="1" applyFont="1" applyFill="1" applyBorder="1" applyAlignment="1">
      <alignment horizontal="right" vertical="center" wrapText="1"/>
    </xf>
    <xf numFmtId="0" fontId="5" fillId="6" borderId="0" xfId="0" applyNumberFormat="1" applyFont="1" applyFill="1" applyBorder="1" applyAlignment="1">
      <alignment vertical="center" wrapText="1"/>
    </xf>
    <xf numFmtId="203" fontId="5" fillId="6" borderId="0" xfId="0" applyNumberFormat="1" applyFont="1" applyFill="1" applyBorder="1" applyAlignment="1">
      <alignment horizontal="right" vertical="center" wrapText="1"/>
    </xf>
    <xf numFmtId="203" fontId="1" fillId="8" borderId="0" xfId="0" applyNumberFormat="1" applyFont="1" applyFill="1" applyBorder="1" applyAlignment="1">
      <alignment horizontal="right" vertical="center" wrapText="1"/>
    </xf>
    <xf numFmtId="205" fontId="1" fillId="8" borderId="0" xfId="0" applyNumberFormat="1" applyFont="1" applyFill="1" applyBorder="1" applyAlignment="1">
      <alignment horizontal="right" vertical="center" wrapText="1"/>
    </xf>
    <xf numFmtId="205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1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0" borderId="0" xfId="0" applyNumberFormat="1" applyFont="1" applyFill="1" applyBorder="1" applyAlignment="1" applyProtection="1">
      <alignment vertical="center"/>
      <protection locked="1" hidden="0"/>
    </xf>
    <xf numFmtId="0" fontId="1" fillId="4" borderId="0" xfId="0" applyNumberFormat="1" applyFont="1" applyFill="1" applyBorder="1" applyAlignment="1" applyProtection="1">
      <alignment vertical="center"/>
      <protection locked="1" hidden="0"/>
    </xf>
    <xf numFmtId="0" fontId="1" fillId="0" borderId="0" xfId="0" applyNumberFormat="1" applyFont="1" applyFill="1" applyBorder="1" applyAlignment="1" applyProtection="1">
      <alignment vertical="center" wrapText="1"/>
      <protection locked="1" hidden="0"/>
    </xf>
    <xf numFmtId="0" fontId="4" fillId="2" borderId="0" xfId="0" applyNumberFormat="1" applyFont="1" applyFill="1" applyBorder="1" applyAlignment="1" applyProtection="1">
      <alignment vertical="center"/>
      <protection locked="1" hidden="0"/>
    </xf>
    <xf numFmtId="0" fontId="4" fillId="2" borderId="0" xfId="0" applyNumberFormat="1" applyFont="1" applyFill="1" applyBorder="1" applyAlignment="1" applyProtection="1">
      <alignment vertical="center" wrapText="1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 wrapText="1"/>
      <protection locked="1" hidden="0"/>
    </xf>
    <xf numFmtId="0" fontId="5" fillId="5" borderId="0" xfId="0" applyNumberFormat="1" applyFont="1" applyFill="1" applyBorder="1" applyProtection="1">
      <protection locked="1" hidden="0"/>
    </xf>
    <xf numFmtId="0" fontId="5" fillId="6" borderId="0" xfId="0" applyNumberFormat="1" applyFont="1" applyFill="1" applyBorder="1" applyProtection="1">
      <protection locked="1" hidden="0"/>
    </xf>
    <xf numFmtId="0" fontId="4" fillId="2" borderId="2" xfId="0" applyNumberFormat="1" applyFont="1" applyFill="1" applyBorder="1" applyAlignment="1" applyProtection="1">
      <alignment horizontal="center" vertical="center"/>
      <protection locked="1" hidden="0"/>
    </xf>
    <xf numFmtId="0" fontId="4" fillId="2" borderId="3" xfId="0" applyNumberFormat="1" applyFont="1" applyFill="1" applyBorder="1" applyAlignment="1" applyProtection="1">
      <alignment horizontal="center" vertical="center"/>
      <protection locked="1" hidden="0"/>
    </xf>
    <xf numFmtId="0" fontId="4" fillId="2" borderId="4" xfId="0" applyNumberFormat="1" applyFont="1" applyFill="1" applyBorder="1" applyAlignment="1" applyProtection="1">
      <alignment horizontal="center" vertical="center"/>
      <protection locked="1" hidden="0"/>
    </xf>
    <xf numFmtId="0" fontId="1" fillId="4" borderId="0" xfId="0" applyNumberFormat="1" applyFont="1" applyFill="1" applyBorder="1" applyAlignment="1" applyProtection="1">
      <alignment horizontal="left" vertical="center" wrapText="1"/>
      <protection locked="0" hidden="0"/>
    </xf>
    <xf numFmtId="0" fontId="8" fillId="0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horizontal="right" vertical="center"/>
      <protection locked="0" hidden="0"/>
    </xf>
    <xf numFmtId="0" fontId="5" fillId="3" borderId="5" xfId="0" applyNumberFormat="1" applyFont="1" applyFill="1" applyBorder="1" applyAlignment="1" applyProtection="1">
      <alignment vertical="center"/>
      <protection locked="1" hidden="0"/>
    </xf>
    <xf numFmtId="0" fontId="5" fillId="3" borderId="6" xfId="0" applyNumberFormat="1" applyFont="1" applyFill="1" applyBorder="1" applyAlignment="1" applyProtection="1">
      <alignment vertical="center"/>
      <protection locked="1" hidden="0"/>
    </xf>
    <xf numFmtId="0" fontId="9" fillId="3" borderId="7" xfId="0" applyNumberFormat="1" applyFont="1" applyFill="1" applyBorder="1" applyAlignment="1" applyProtection="1">
      <alignment vertical="center" wrapText="1"/>
      <protection locked="1" hidden="0"/>
    </xf>
    <xf numFmtId="201" fontId="1" fillId="4" borderId="0" xfId="0" applyNumberFormat="1" applyFont="1" applyFill="1" applyBorder="1" applyAlignment="1" applyProtection="1">
      <alignment horizontal="right" vertical="center"/>
      <protection locked="0" hidden="0"/>
    </xf>
    <xf numFmtId="0" fontId="6" fillId="0" borderId="8" xfId="0" applyNumberFormat="1" applyFont="1" applyFill="1" applyBorder="1" applyAlignment="1" applyProtection="1">
      <alignment vertical="center"/>
      <protection locked="1" hidden="0"/>
    </xf>
    <xf numFmtId="201" fontId="6" fillId="0" borderId="8" xfId="0" applyNumberFormat="1" applyFont="1" applyFill="1" applyBorder="1" applyAlignment="1" applyProtection="1">
      <alignment horizontal="right" vertical="center"/>
      <protection locked="1" hidden="0"/>
    </xf>
    <xf numFmtId="0" fontId="8" fillId="0" borderId="8" xfId="0" applyNumberFormat="1" applyFont="1" applyFill="1" applyBorder="1" applyAlignment="1" applyProtection="1">
      <alignment vertical="center" wrapText="1"/>
      <protection locked="1" hidden="0"/>
    </xf>
    <xf numFmtId="0" fontId="10" fillId="0" borderId="0" xfId="0" applyNumberFormat="1" applyFont="1" applyFill="1" applyBorder="1" applyAlignment="1" applyProtection="1">
      <alignment vertical="center"/>
      <protection locked="1" hidden="0"/>
    </xf>
    <xf numFmtId="201" fontId="7" fillId="0" borderId="8" xfId="0" applyNumberFormat="1" applyFont="1" applyFill="1" applyBorder="1" applyAlignment="1" applyProtection="1">
      <alignment horizontal="right" vertical="center"/>
      <protection locked="1" hidden="0"/>
    </xf>
    <xf numFmtId="0" fontId="6" fillId="0" borderId="8" xfId="0" applyNumberFormat="1" applyFont="1" applyFill="1" applyBorder="1" applyAlignment="1" applyProtection="1">
      <alignment vertical="center" wrapText="1"/>
      <protection locked="1" hidden="0"/>
    </xf>
    <xf numFmtId="202" fontId="6" fillId="0" borderId="8" xfId="0" applyNumberFormat="1" applyFont="1" applyFill="1" applyBorder="1" applyAlignment="1" applyProtection="1">
      <alignment horizontal="right" vertical="center" wrapText="1"/>
      <protection locked="1" hidden="0"/>
    </xf>
    <xf numFmtId="0" fontId="8" fillId="0" borderId="0" xfId="0" applyNumberFormat="1" applyFont="1" applyFill="1" applyBorder="1" applyAlignment="1" applyProtection="1">
      <alignment vertical="center"/>
      <protection locked="1" hidden="0"/>
    </xf>
    <xf numFmtId="0" fontId="11" fillId="0" borderId="1" xfId="0" applyNumberFormat="1" applyFont="1" applyFill="1" applyBorder="1" applyAlignment="1" applyProtection="1">
      <alignment vertical="center" wrapText="1"/>
      <protection locked="1" hidden="0"/>
    </xf>
    <xf numFmtId="0" fontId="1" fillId="0" borderId="1" xfId="0" applyNumberFormat="1" applyFont="1" applyFill="1" applyBorder="1" applyAlignment="1" applyProtection="1">
      <alignment vertical="center" wrapText="1"/>
      <protection locked="1" hidden="0"/>
    </xf>
    <xf numFmtId="0" fontId="4" fillId="7" borderId="0" xfId="0" applyNumberFormat="1" applyFont="1" applyFill="1" applyBorder="1" applyAlignment="1" applyProtection="1">
      <alignment horizontal="center" vertical="center" wrapText="1"/>
      <protection locked="1" hidden="0"/>
    </xf>
    <xf numFmtId="203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202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1" hidden="0"/>
    </xf>
    <xf numFmtId="204" fontId="1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6" fillId="0" borderId="0" xfId="0" applyNumberFormat="1" applyFont="1" applyFill="1" applyBorder="1" applyAlignment="1" applyProtection="1">
      <alignment vertical="center" wrapText="1"/>
      <protection locked="1" hidden="0"/>
    </xf>
    <xf numFmtId="203" fontId="6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204" fontId="6" fillId="0" borderId="0" xfId="0" applyNumberFormat="1" applyFont="1" applyFill="1" applyBorder="1" applyAlignment="1" applyProtection="1">
      <alignment horizontal="right" vertical="center" wrapText="1"/>
      <protection locked="1" hidden="0"/>
    </xf>
    <xf numFmtId="0" fontId="5" fillId="6" borderId="0" xfId="0" applyNumberFormat="1" applyFont="1" applyFill="1" applyBorder="1" applyAlignment="1" applyProtection="1">
      <alignment vertical="center" wrapText="1"/>
      <protection locked="1" hidden="0"/>
    </xf>
    <xf numFmtId="203" fontId="5" fillId="6" borderId="0" xfId="0" applyNumberFormat="1" applyFont="1" applyFill="1" applyBorder="1" applyAlignment="1" applyProtection="1">
      <alignment horizontal="right" vertical="center" wrapText="1"/>
      <protection locked="1" hidden="0"/>
    </xf>
    <xf numFmtId="203" fontId="1" fillId="8" borderId="0" xfId="0" applyNumberFormat="1" applyFont="1" applyFill="1" applyBorder="1" applyAlignment="1" applyProtection="1">
      <alignment horizontal="right" vertical="center" wrapText="1"/>
      <protection locked="0" hidden="0"/>
    </xf>
    <xf numFmtId="205" fontId="1" fillId="8" borderId="0" xfId="0" applyNumberFormat="1" applyFont="1" applyFill="1" applyBorder="1" applyAlignment="1" applyProtection="1">
      <alignment horizontal="right" vertical="center" wrapText="1"/>
      <protection locked="0" hidden="0"/>
    </xf>
    <xf numFmtId="205" fontId="1" fillId="0" borderId="0" xfId="0" applyNumberFormat="1" applyFont="1" applyFill="1" applyBorder="1" applyAlignment="1" applyProtection="1">
      <alignment horizontal="right" vertical="center" wrapText="1"/>
      <protection locked="1" hidden="0"/>
    </xf>
  </cellXfs>
  <cellStyles count="1">
    <cellStyle name="Normal" xfId="0"/>
  </cellStyles>
  <dxfs count="55"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  <dxf>
      <font>
        <color rgb="FFA4262C"/>
      </font>
      <fill>
        <patternFill>
          <bgColor rgb="FFFCE9E7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420fe5ad74067" /><Relationship Type="http://schemas.openxmlformats.org/officeDocument/2006/relationships/theme" Target="/xl/theme/theme1.xml" Id="R0d846e67e6a64db6" /><Relationship Type="http://schemas.openxmlformats.org/officeDocument/2006/relationships/sharedStrings" Target="/xl/sharedStrings.xml" Id="Rb7a1e60f3cca433c" /><Relationship Type="http://schemas.openxmlformats.org/officeDocument/2006/relationships/worksheet" Target="/xl/worksheets/sheet1.xml" Id="R058d915704db464a" /><Relationship Type="http://schemas.openxmlformats.org/officeDocument/2006/relationships/worksheet" Target="/xl/worksheets/sheet2.xml" Id="R2549e7b44b3e4eca" /><Relationship Type="http://schemas.openxmlformats.org/officeDocument/2006/relationships/worksheet" Target="/xl/worksheets/sheet3.xml" Id="Rbcbe4dcee3734c05" /><Relationship Type="http://schemas.openxmlformats.org/officeDocument/2006/relationships/worksheet" Target="/xl/worksheets/sheet4.xml" Id="R1d057f2d82bd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.440000057220459" hidden="0" customWidth="1"/>
    <col min="2" max="2" width="26.670000076293945" hidden="0" customWidth="1"/>
    <col min="3" max="3" width="62.779998779296875" hidden="0" customWidth="1"/>
    <col min="4" max="4" width="2.6700000762939453" hidden="0" customWidth="1"/>
    <col min="5" max="5" width="2.6700000762939453" hidden="0" customWidth="1"/>
    <col min="6" max="6" width="2.6700000762939453" hidden="0" customWidth="1"/>
  </cols>
  <sheetData>
    <row r="1" ht="38" customHeight="1">
      <c r="A1" s="120"/>
      <c r="B1" s="121" t="str">
        <v>使用说明</v>
      </c>
      <c r="C1" s="122"/>
      <c r="D1" s="122"/>
      <c r="E1" s="122"/>
      <c r="F1" s="122"/>
    </row>
    <row r="2" ht="25" customHeight="1">
      <c r="A2" s="120"/>
      <c r="B2" s="123" t="str">
        <v>单品经营情景测算 / v0.3 / 2026-10-04</v>
      </c>
      <c r="C2" s="123"/>
      <c r="D2" s="123"/>
      <c r="E2" s="123"/>
      <c r="F2" s="123"/>
    </row>
    <row r="3" ht="32" customHeight="1">
      <c r="A3" s="120"/>
      <c r="B3" s="120"/>
      <c r="C3" s="120"/>
      <c r="D3" s="120"/>
      <c r="E3" s="120"/>
      <c r="F3" s="120"/>
    </row>
    <row r="4" ht="58" customHeight="1">
      <c r="A4" s="120"/>
      <c r="B4" s="124" t="str">
        <v>黄色区域填写</v>
      </c>
      <c r="C4" s="125" t="str">
        <v>黄色输入区可编辑；白色结果和提示区已保护，金额为零也填0。</v>
      </c>
      <c r="D4" s="120"/>
      <c r="E4" s="120"/>
      <c r="F4" s="120"/>
    </row>
    <row r="5" ht="25" customHeight="1">
      <c r="A5" s="120"/>
      <c r="B5" s="120"/>
      <c r="C5" s="125"/>
      <c r="D5" s="120"/>
      <c r="E5" s="120"/>
      <c r="F5" s="120"/>
    </row>
    <row r="6" ht="30" customHeight="1">
      <c r="A6" s="120"/>
      <c r="B6" s="126" t="str">
        <v>开始使用</v>
      </c>
      <c r="C6" s="127" t="str">
        <v>操作</v>
      </c>
      <c r="D6" s="120"/>
      <c r="E6" s="120"/>
      <c r="F6" s="120"/>
    </row>
    <row r="7" ht="76" customHeight="1">
      <c r="A7" s="120"/>
      <c r="B7" s="125" t="str">
        <v>1. 先归集账单</v>
      </c>
      <c r="C7" s="125" t="str">
        <v>先到「填表前归集」填写订单分类和费用总额，自动换算每单金额。金额不明留空查账，确认没有费用才填0。</v>
      </c>
      <c r="D7" s="120"/>
      <c r="E7" s="120"/>
      <c r="F7" s="120"/>
    </row>
    <row r="8" ht="76" customHeight="1">
      <c r="A8" s="120"/>
      <c r="B8" s="125" t="str">
        <v>2. 填三套方案</v>
      </c>
      <c r="C8" s="125" t="str">
        <v>归集页只粘贴数值到「场景测算」：C7填比例；C10:C15填正常单；C20:C25填退货单。其余方案在复制后修改相应成本。</v>
      </c>
      <c r="D8" s="120"/>
      <c r="E8" s="120"/>
      <c r="F8" s="120"/>
    </row>
    <row r="9" ht="58" customHeight="1">
      <c r="A9" s="120"/>
      <c r="B9" s="120" t="str">
        <v>3. 填退货比例</v>
      </c>
      <c r="C9" s="125" t="str">
        <v>输入10%后确认显示为10.0%，不要留重复百分号。比例只覆盖同批已发货、最终正常完成或退货的订单。</v>
      </c>
      <c r="D9" s="120"/>
      <c r="E9" s="120"/>
      <c r="F9" s="120"/>
    </row>
    <row r="10" ht="55" customHeight="1">
      <c r="A10" s="120"/>
      <c r="B10" s="120" t="str">
        <v>4. 对比结果</v>
      </c>
      <c r="C10" s="125" t="str">
        <v>方案一至三可以比较不同收入或成本。同一扣费只扣一次，收入变化时重新填写相关扣费。</v>
      </c>
      <c r="D10" s="120"/>
      <c r="E10" s="120"/>
      <c r="F10" s="120"/>
    </row>
    <row r="11" ht="25" customHeight="1">
      <c r="A11" s="120"/>
      <c r="B11" s="120"/>
      <c r="C11" s="125"/>
      <c r="D11" s="120"/>
      <c r="E11" s="120"/>
      <c r="F11" s="120"/>
    </row>
    <row r="12" ht="29" customHeight="1">
      <c r="A12" s="120"/>
      <c r="B12" s="128" t="str">
        <v>金额口径</v>
      </c>
      <c r="C12" s="129"/>
      <c r="D12" s="120"/>
      <c r="E12" s="120"/>
      <c r="F12" s="120"/>
    </row>
    <row r="13" ht="68" customHeight="1">
      <c r="A13" s="120"/>
      <c r="B13" s="120" t="str">
        <v>收入与平台费</v>
      </c>
      <c r="C13" s="125" t="str">
        <v>成交79元、扣费3.95元：收入填79、平台费填3.95；或净到账填75.05、平台费填0。两种填法结果相同。其他已扣费用也不重复扣。</v>
      </c>
      <c r="D13" s="120"/>
      <c r="E13" s="120"/>
      <c r="F13" s="120"/>
    </row>
    <row r="14" ht="44" customHeight="1">
      <c r="A14" s="120"/>
      <c r="B14" s="120" t="str">
        <v>退货的商品成本</v>
      </c>
      <c r="C14" s="125" t="str">
        <v>仅填写不能回收的成本。退回商品仍可完整销售时，可填0；存在损耗时填写损耗金额。</v>
      </c>
      <c r="D14" s="120"/>
      <c r="E14" s="120"/>
      <c r="F14" s="120"/>
    </row>
    <row r="15" ht="76" customHeight="1">
      <c r="A15" s="120"/>
      <c r="B15" s="125" t="str">
        <v>其他变动成本</v>
      </c>
      <c r="C15" s="125" t="str">
        <v>已付、随订单变化的计件人工和包装归入其他成本。已计入商品成本或已从收入扣除的项目，不再计入。</v>
      </c>
      <c r="D15" s="120"/>
      <c r="E15" s="120"/>
      <c r="F15" s="120"/>
    </row>
    <row r="16" ht="68" customHeight="1">
      <c r="A16" s="120"/>
      <c r="B16" s="120" t="str">
        <v>广告与其他成本</v>
      </c>
      <c r="C16" s="125" t="str">
        <v>同商品同批100单发货，广告1000元：1000÷100=10元，正常和退货单各填10元。不把总广告除以80笔留存订单后再给退货单分摊。</v>
      </c>
      <c r="D16" s="120"/>
      <c r="E16" s="120"/>
      <c r="F16" s="120"/>
    </row>
    <row r="17" ht="25" customHeight="1">
      <c r="A17" s="120"/>
      <c r="B17" s="120"/>
      <c r="C17" s="125"/>
      <c r="D17" s="120"/>
      <c r="E17" s="120"/>
      <c r="F17" s="120"/>
    </row>
    <row r="18" ht="29" customHeight="1">
      <c r="A18" s="120"/>
      <c r="B18" s="128" t="str">
        <v>计算方法</v>
      </c>
      <c r="C18" s="129"/>
      <c r="D18" s="120"/>
      <c r="E18" s="120"/>
      <c r="F18" s="120"/>
    </row>
    <row r="19" ht="58" customHeight="1">
      <c r="A19" s="120"/>
      <c r="B19" s="120" t="str">
        <v>正常单贡献</v>
      </c>
      <c r="C19" s="125" t="str">
        <v>销售收入减正常商品成本、发货、平台扣费、广告和其他变动成本。已从收入扣除的费用在对应成本项填0。</v>
      </c>
      <c r="D19" s="120"/>
      <c r="E19" s="120"/>
      <c r="F19" s="120"/>
    </row>
    <row r="20" ht="55" customHeight="1">
      <c r="A20" s="120"/>
      <c r="B20" s="120" t="str">
        <v>退货单贡献</v>
      </c>
      <c r="C20" s="125" t="str">
        <v>退款后保留收入减去不可回收商品成本、发货及退回费用、未退平台费、广告和其他退货成本。</v>
      </c>
      <c r="D20" s="120"/>
      <c r="E20" s="120"/>
      <c r="F20" s="120"/>
    </row>
    <row r="21" ht="55" customHeight="1">
      <c r="A21" s="120"/>
      <c r="B21" s="120" t="str">
        <v>情景单均贡献</v>
      </c>
      <c r="C21" s="125" t="str">
        <v>正常单贡献×(1−退货比例)＋退货单贡献×退货比例。订单贡献与加权结果均四舍五入到分。</v>
      </c>
      <c r="D21" s="120"/>
      <c r="E21" s="120"/>
      <c r="F21" s="120"/>
    </row>
    <row r="22" ht="76" customHeight="1">
      <c r="A22" s="120"/>
      <c r="B22" s="125" t="str">
        <v>结果范围</v>
      </c>
      <c r="C22" s="125" t="str">
        <v>正常完成与退货两类贡献；仅退款未退货、换货、未发货取消及其他类别另算。自有劳动估值、固定费用、所得税和现金流不在结果内。</v>
      </c>
      <c r="D22" s="120"/>
      <c r="E22" s="120"/>
      <c r="F22" s="120"/>
    </row>
    <row r="23" ht="25" customHeight="1">
      <c r="A23" s="120"/>
      <c r="B23" s="120"/>
      <c r="C23" s="125"/>
      <c r="D23" s="120"/>
      <c r="E23" s="120"/>
      <c r="F23" s="120"/>
    </row>
    <row r="24" ht="29" customHeight="1">
      <c r="A24" s="120"/>
      <c r="B24" s="128" t="str">
        <v>数据与文件使用</v>
      </c>
      <c r="C24" s="129"/>
      <c r="D24" s="120"/>
      <c r="E24" s="120"/>
      <c r="F24" s="120"/>
    </row>
    <row r="25" ht="44" customHeight="1">
      <c r="A25" s="120"/>
      <c r="B25" s="120" t="str">
        <v>数据来源</v>
      </c>
      <c r="C25" s="125" t="str">
        <v>输入金额由使用者提供。三组演示数据为自行构造，非真实店铺记录。</v>
      </c>
      <c r="D25" s="120"/>
      <c r="E25" s="120"/>
      <c r="F25" s="120"/>
    </row>
    <row r="26" ht="68" customHeight="1">
      <c r="A26" s="120"/>
      <c r="B26" s="120" t="str">
        <v>修改与保护</v>
      </c>
      <c r="C26" s="125" t="str">
        <v>只改黄色区域。公式区已设无密码工作表保护，防止误改；需要调整结构时在审阅中取消保护，调整后重新保护。商品名可用行高调整完整显示。</v>
      </c>
      <c r="D26" s="120"/>
      <c r="E26" s="120"/>
      <c r="F26" s="120"/>
    </row>
    <row r="27" ht="58" customHeight="1">
      <c r="A27" s="120"/>
      <c r="B27" s="120" t="str">
        <v>试填环境</v>
      </c>
      <c r="C27" s="125" t="str">
        <v>先复现示例再录入自己的数据。若比例显示异常，进入编辑模式替换为10%，确认显示10.0%。Excel和其他版本仍需自行试填。</v>
      </c>
      <c r="D27" s="120"/>
      <c r="E27" s="120"/>
      <c r="F27" s="120"/>
    </row>
    <row r="28" ht="25" customHeight="1">
      <c r="A28" s="120"/>
      <c r="B28" s="120"/>
      <c r="C28" s="120"/>
      <c r="D28" s="120"/>
      <c r="E28" s="120"/>
      <c r="F28" s="120"/>
    </row>
    <row r="29" ht="29" customHeight="1">
      <c r="B29" s="130" t="str">
        <v>分摊与比例示例</v>
      </c>
      <c r="C29" s="130"/>
    </row>
    <row r="30" ht="76" customHeight="1">
      <c r="B30" s="125" t="str">
        <v>混合售后分母</v>
      </c>
      <c r="C30" s="125" t="str">
        <v>40笔：32正常、4退货、1未发货取消、2仅退款、1换货。虽然39笔已发货，分母只用32+4=36，退货率4÷36=11.11%。各类互斥。</v>
      </c>
    </row>
    <row r="31" ht="68" customHeight="1">
      <c r="B31" s="120" t="str">
        <v>广告分摊范围</v>
      </c>
      <c r="C31" s="125" t="str">
        <v>广告金额和订单使用同商品、同期间归因口径。本表不自动归因；两类成本确实不同时填各自平均数，并核对加权后广告总额。</v>
      </c>
    </row>
    <row r="32" ht="76" customHeight="1">
      <c r="B32" s="125" t="str">
        <v>部分回收成本</v>
      </c>
      <c r="C32" s="125" t="str">
        <v>4件退回原成本各38元，3件全损、1件可回收24元：不可回收总额152-24=128元，每笔退货平均32元。回收按有依据的成本估值，不按未来售价。</v>
      </c>
    </row>
    <row r="33" ht="68" customHeight="1">
      <c r="B33" s="120" t="str">
        <v>贡献盈亏点</v>
      </c>
      <c r="C33" s="125" t="str">
        <v>金额填齐后自动给出贡献为零的退货比例。正常赚、退货亏时，低于该比例贡献为正；成本改变会更新。不包含固定成本与所得税。</v>
      </c>
    </row>
    <row r="34" ht="29" customHeight="1">
      <c r="B34" s="131" t="str">
        <v>新增填写口径</v>
      </c>
      <c r="C34" s="131" t="str">
        <v>人工、部分回收、显示舍入与数据归集</v>
      </c>
    </row>
    <row r="35" ht="76" customHeight="1">
      <c r="B35" s="125" t="str">
        <v>人工怎么处理</v>
      </c>
      <c r="C35" s="125" t="str">
        <v>已付计件人工22元/件可归入其他成本；固定工资另算。店主自有时间不填作已付成本，可另按分钟÷60×时薪估算，不代表劳动免费。</v>
      </c>
    </row>
    <row r="36" ht="76" customHeight="1">
      <c r="B36" s="125" t="str">
        <v>回收价值未确定</v>
      </c>
      <c r="C36" s="125" t="str">
        <v>可完整再卖时按原成本回收；只能拆件时用可回收成本部分。缺少验货或残值依据先留空查证；不得为出结果填0或把预期售价当回收成本。</v>
      </c>
    </row>
    <row r="37" ht="76" customHeight="1">
      <c r="B37" s="125" t="str">
        <v>单均与整批金额</v>
      </c>
      <c r="C37" s="125" t="str">
        <v>单均及两类贡献按分四舍五入。11.89×100=1189.00，与账单合计1188.75差0.25元。精确整批金额看归集页按总额直接计算的整批贡献。</v>
      </c>
    </row>
    <row r="38" ht="76" customHeight="1">
      <c r="B38" s="125" t="str">
        <v>归集页怎么用</v>
      </c>
      <c r="C38" s="125" t="str">
        <v>先填黄色输入并处理提示，再按页顶映射只粘贴数值。归集页不自动导入平台账单，不自动归因广告，也不更新已经粘贴的方案。</v>
      </c>
    </row>
  </sheetData>
  <sheetProtection sheet="1" objects="1" scenarios="1" formatRows="0" selectLockedCells="0" selectUnlockedCell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26.670000076293945" hidden="0" customWidth="1"/>
    <col min="3" max="3" width="13.890000343322754" hidden="0" customWidth="1"/>
    <col min="4" max="4" width="13.890000343322754" hidden="0" customWidth="1"/>
    <col min="5" max="5" width="13.890000343322754" hidden="0" customWidth="1"/>
    <col min="6" max="6" width="40.560001373291016" hidden="0" customWidth="1"/>
  </cols>
  <sheetData>
    <row r="1" ht="38" customHeight="1">
      <c r="A1" s="120"/>
      <c r="B1" s="121" t="str">
        <v>单品贡献利润与退货损耗</v>
      </c>
      <c r="C1" s="122"/>
      <c r="D1" s="122"/>
      <c r="E1" s="122"/>
      <c r="F1" s="122"/>
    </row>
    <row r="2" ht="25" customHeight="1">
      <c r="A2" s="120"/>
      <c r="B2" s="123" t="str">
        <v>人民币元 / 单品 / 两类已发货订单 / v0.3</v>
      </c>
      <c r="C2" s="123"/>
      <c r="D2" s="123"/>
      <c r="E2" s="123"/>
      <c r="F2" s="123"/>
    </row>
    <row r="3" ht="32" customHeight="1">
      <c r="A3" s="120"/>
      <c r="B3" s="120" t="str">
        <v>黄色可修改，白色公式已保护。</v>
      </c>
      <c r="C3" s="120"/>
      <c r="D3" s="120"/>
      <c r="E3" s="120"/>
      <c r="F3" s="120" t="str">
        <v>从「示例」开始，再填写自己的方案。</v>
      </c>
    </row>
    <row r="4" ht="25" customHeight="1">
      <c r="A4" s="120"/>
      <c r="B4" s="120"/>
      <c r="C4" s="120"/>
      <c r="D4" s="120"/>
      <c r="E4" s="120"/>
      <c r="F4" s="120"/>
    </row>
    <row r="5" ht="30" customHeight="1">
      <c r="A5" s="120"/>
      <c r="B5" s="132" t="str">
        <v>项目</v>
      </c>
      <c r="C5" s="133" t="str">
        <v>方案一</v>
      </c>
      <c r="D5" s="133" t="str">
        <v>方案二</v>
      </c>
      <c r="E5" s="133" t="str">
        <v>方案三</v>
      </c>
      <c r="F5" s="134" t="str">
        <v>填写说明</v>
      </c>
    </row>
    <row r="6" ht="68" customHeight="1">
      <c r="A6" s="120"/>
      <c r="B6" s="120" t="str">
        <v>商品名称</v>
      </c>
      <c r="C6" s="135" t="str">
        <v>模拟保温杯
500mL</v>
      </c>
      <c r="D6" s="135" t="str">
        <v>模拟保温杯
降5元</v>
      </c>
      <c r="E6" s="135"/>
      <c r="F6" s="136" t="str">
        <v>便于识别方案，可留空。</v>
      </c>
    </row>
    <row r="7" ht="54" customHeight="1">
      <c r="A7" s="120"/>
      <c r="B7" s="120" t="str">
        <v>退货比例</v>
      </c>
      <c r="C7" s="137" t="n">
        <v>0.14285714285714285</v>
      </c>
      <c r="D7" s="137" t="n">
        <v>0.14285714285714285</v>
      </c>
      <c r="E7" s="137"/>
      <c r="F7" s="136" t="str">
        <v>只用正常+退货作分母。混合售后例：4÷36=11.11%，不是4÷39。</v>
      </c>
    </row>
    <row r="8" ht="25" customHeight="1">
      <c r="A8" s="120"/>
      <c r="B8" s="120"/>
      <c r="C8" s="120"/>
      <c r="D8" s="120"/>
      <c r="E8" s="120"/>
      <c r="F8" s="136"/>
    </row>
    <row r="9" ht="25" customHeight="1">
      <c r="A9" s="120"/>
      <c r="B9" s="138" t="str">
        <v>正常完成订单</v>
      </c>
      <c r="C9" s="139"/>
      <c r="D9" s="139"/>
      <c r="E9" s="139"/>
      <c r="F9" s="140"/>
    </row>
    <row r="10" ht="45" customHeight="1">
      <c r="A10" s="120"/>
      <c r="B10" s="120" t="str">
        <v>销售收入</v>
      </c>
      <c r="C10" s="141" t="n">
        <v>89</v>
      </c>
      <c r="D10" s="141" t="n">
        <v>84</v>
      </c>
      <c r="E10" s="141"/>
      <c r="F10" s="136" t="str">
        <v>成交79元填79；若填扣费后净到账75.05，已扣平台费在下方填0。</v>
      </c>
    </row>
    <row r="11" ht="25" customHeight="1">
      <c r="A11" s="120"/>
      <c r="B11" s="120" t="str">
        <v>商品成本</v>
      </c>
      <c r="C11" s="141" t="n">
        <v>32.599999999999994</v>
      </c>
      <c r="D11" s="141" t="n">
        <v>32.599999999999994</v>
      </c>
      <c r="E11" s="141"/>
      <c r="F11" s="136" t="str">
        <v>正常订单的商品成本。</v>
      </c>
    </row>
    <row r="12" ht="25" customHeight="1">
      <c r="A12" s="120"/>
      <c r="B12" s="120" t="str">
        <v>发货费用</v>
      </c>
      <c r="C12" s="141" t="n">
        <v>5.466666666666667</v>
      </c>
      <c r="D12" s="141" t="n">
        <v>5.466666666666667</v>
      </c>
      <c r="E12" s="141"/>
      <c r="F12" s="136" t="str">
        <v>正常订单实际承担的发货费用。</v>
      </c>
    </row>
    <row r="13" ht="45" customHeight="1">
      <c r="A13" s="120"/>
      <c r="B13" s="120" t="str">
        <v>平台扣费</v>
      </c>
      <c r="C13" s="141" t="n">
        <v>4.65</v>
      </c>
      <c r="D13" s="141" t="n">
        <v>4.4</v>
      </c>
      <c r="E13" s="141"/>
      <c r="F13" s="136" t="str">
        <v>成交79元扣3.95：收入79、费用3.95；或收入75.05、费用0。</v>
      </c>
    </row>
    <row r="14" ht="45" customHeight="1">
      <c r="A14" s="120"/>
      <c r="B14" s="120" t="str">
        <v>分摊广告费</v>
      </c>
      <c r="C14" s="141" t="n">
        <v>8.116666666666667</v>
      </c>
      <c r="D14" s="141" t="n">
        <v>8.116666666666667</v>
      </c>
      <c r="E14" s="141"/>
      <c r="F14" s="136" t="str">
        <v>同批100单发货、广告1000元，两类各填10元。详见「使用说明」。</v>
      </c>
    </row>
    <row r="15" ht="54" customHeight="1">
      <c r="A15" s="120"/>
      <c r="B15" s="120" t="str">
        <v>其他变动成本</v>
      </c>
      <c r="C15" s="141" t="n">
        <v>3.9000000000000004</v>
      </c>
      <c r="D15" s="141" t="n">
        <v>3.9000000000000004</v>
      </c>
      <c r="E15" s="141"/>
      <c r="F15" s="136" t="str">
        <v>含包装、已付计件人工；已计商品成本或收入已扣项目勿重复。</v>
      </c>
    </row>
    <row r="16" ht="45" customHeight="1">
      <c r="A16" s="120"/>
      <c r="B16" s="142" t="str">
        <v>正常单贡献</v>
      </c>
      <c r="C16" s="143" t="n">
        <f>IF(C17="",ROUND(C10-SUM(C11:C15),2),"")</f>
        <v>34.27</v>
      </c>
      <c r="D16" s="143" t="n">
        <f>IF(D17="",ROUND(D10-SUM(D11:D15),2),"")</f>
        <v>29.52</v>
      </c>
      <c r="E16" s="143" t="str">
        <f>IF(E17="",ROUND(E10-SUM(E11:E15),2),"")</f>
      </c>
      <c r="F16" s="144" t="str">
        <v>销售收入减各项成本；已从收入扣掉的费用不再扣。</v>
      </c>
    </row>
    <row r="17" ht="25" customHeight="1">
      <c r="A17" s="120"/>
      <c r="B17" s="120" t="str">
        <v>输入提示</v>
      </c>
      <c r="C17" s="145" t="str">
        <f>IF(COUNT(C10:C15)&lt;6,"填齐6个金额",IF(MIN(C10:C15)&lt;0,"金额不能为负",""))</f>
      </c>
      <c r="D17" s="145" t="str">
        <f>IF(COUNT(D10:D15)&lt;6,"填齐6个金额",IF(MIN(D10:D15)&lt;0,"金额不能为负",""))</f>
      </c>
      <c r="E17" s="145" t="str">
        <f>IF(COUNT(E10:E15)&lt;6,"填齐6个金额",IF(MIN(E10:E15)&lt;0,"金额不能为负",""))</f>
        <v>填齐6个金额</v>
      </c>
      <c r="F17" s="136" t="str"/>
    </row>
    <row r="18" ht="25" customHeight="1">
      <c r="A18" s="120"/>
      <c r="B18" s="120"/>
      <c r="C18" s="120"/>
      <c r="D18" s="120"/>
      <c r="E18" s="120"/>
      <c r="F18" s="136"/>
    </row>
    <row r="19" ht="25" customHeight="1">
      <c r="A19" s="120"/>
      <c r="B19" s="138" t="str">
        <v>退货订单</v>
      </c>
      <c r="C19" s="139"/>
      <c r="D19" s="139"/>
      <c r="E19" s="139"/>
      <c r="F19" s="140"/>
    </row>
    <row r="20" ht="45" customHeight="1">
      <c r="A20" s="120"/>
      <c r="B20" s="120" t="str">
        <v>退款后保留收入</v>
      </c>
      <c r="C20" s="141" t="n">
        <v>0</v>
      </c>
      <c r="D20" s="141" t="n">
        <v>0</v>
      </c>
      <c r="E20" s="141"/>
      <c r="F20" s="136" t="str">
        <v>全额退款填0。已扣除的费用勿再填。仅退款未退货不在本模型范围。</v>
      </c>
    </row>
    <row r="21" ht="54" customHeight="1">
      <c r="A21" s="120"/>
      <c r="B21" s="120" t="str">
        <v>不可回收商品成本</v>
      </c>
      <c r="C21" s="141" t="n">
        <v>14.533333333333331</v>
      </c>
      <c r="D21" s="141" t="n">
        <v>14.533333333333331</v>
      </c>
      <c r="E21" s="141"/>
      <c r="F21" s="136" t="str">
        <v>部分回收按成本估值扣除，不用未来售价。例152-24=128，4笔平均32。</v>
      </c>
    </row>
    <row r="22" ht="25" customHeight="1">
      <c r="A22" s="120"/>
      <c r="B22" s="120" t="str">
        <v>发货及退回费用</v>
      </c>
      <c r="C22" s="141" t="n">
        <v>13.233333333333334</v>
      </c>
      <c r="D22" s="141" t="n">
        <v>13.233333333333334</v>
      </c>
      <c r="E22" s="141"/>
      <c r="F22" s="136" t="str">
        <v>退货情景中承担的出库及退回运费合计。</v>
      </c>
    </row>
    <row r="23" ht="25" customHeight="1">
      <c r="A23" s="120"/>
      <c r="B23" s="120" t="str">
        <v>未退平台费</v>
      </c>
      <c r="C23" s="141" t="n">
        <v>1.09</v>
      </c>
      <c r="D23" s="141" t="n">
        <v>1.04</v>
      </c>
      <c r="E23" s="141"/>
      <c r="F23" s="136" t="str">
        <v>退款后仍承担的手续费，避免重复扣除。</v>
      </c>
    </row>
    <row r="24" ht="45" customHeight="1">
      <c r="A24" s="120"/>
      <c r="B24" s="120" t="str">
        <v>分摊广告费</v>
      </c>
      <c r="C24" s="141" t="n">
        <v>8.216666666666667</v>
      </c>
      <c r="D24" s="141" t="n">
        <v>8.216666666666667</v>
      </c>
      <c r="E24" s="141"/>
      <c r="F24" s="136" t="str">
        <v>与正常单使用同批分摊口径；上例退货单也填10元。</v>
      </c>
    </row>
    <row r="25" ht="54" customHeight="1">
      <c r="A25" s="120"/>
      <c r="B25" s="120" t="str">
        <v>其他退货成本</v>
      </c>
      <c r="C25" s="141" t="n">
        <v>5.3500000000000005</v>
      </c>
      <c r="D25" s="141" t="n">
        <v>5.3500000000000005</v>
      </c>
      <c r="E25" s="141"/>
      <c r="F25" s="136" t="str">
        <v>含已付计件人工、包装及检验；已计商品成本或收入已扣费用勿重复。</v>
      </c>
    </row>
    <row r="26" ht="25" customHeight="1">
      <c r="A26" s="120"/>
      <c r="B26" s="142" t="str">
        <v>退货单贡献</v>
      </c>
      <c r="C26" s="143" t="n">
        <f>IF(C27="",ROUND(C20-SUM(C21:C25),2),"")</f>
        <v>-42.42</v>
      </c>
      <c r="D26" s="143" t="n">
        <f>IF(D27="",ROUND(D20-SUM(D21:D25),2),"")</f>
        <v>-42.37</v>
      </c>
      <c r="E26" s="143" t="str">
        <f>IF(E27="",ROUND(E20-SUM(E21:E25),2),"")</f>
      </c>
      <c r="F26" s="144" t="str">
        <v>退款后收入减该情景的不可回收成本。</v>
      </c>
    </row>
    <row r="27" ht="25" customHeight="1">
      <c r="A27" s="120"/>
      <c r="B27" s="120" t="str">
        <v>输入提示</v>
      </c>
      <c r="C27" s="145" t="str">
        <f>IF(COUNT(C20:C25)&lt;6,"填齐6个金额",IF(MIN(C20:C25)&lt;0,"金额不能为负",""))</f>
      </c>
      <c r="D27" s="145" t="str">
        <f>IF(COUNT(D20:D25)&lt;6,"填齐6个金额",IF(MIN(D20:D25)&lt;0,"金额不能为负",""))</f>
      </c>
      <c r="E27" s="145" t="str">
        <f>IF(COUNT(E20:E25)&lt;6,"填齐6个金额",IF(MIN(E20:E25)&lt;0,"金额不能为负",""))</f>
        <v>填齐6个金额</v>
      </c>
      <c r="F27" s="136" t="str"/>
    </row>
    <row r="28" ht="25" customHeight="1">
      <c r="A28" s="120"/>
      <c r="B28" s="120"/>
      <c r="C28" s="120"/>
      <c r="D28" s="120"/>
      <c r="E28" s="120"/>
      <c r="F28" s="136"/>
    </row>
    <row r="29" ht="25" customHeight="1">
      <c r="A29" s="120"/>
      <c r="B29" s="138" t="str">
        <v>两种情景加权</v>
      </c>
      <c r="C29" s="139"/>
      <c r="D29" s="139"/>
      <c r="E29" s="139"/>
      <c r="F29" s="140"/>
    </row>
    <row r="30" ht="62" customHeight="1">
      <c r="A30" s="120"/>
      <c r="B30" s="142" t="str">
        <v>情景单均贡献</v>
      </c>
      <c r="C30" s="146" t="n">
        <f>IF(AND(C17="",C27="",C31=""),ROUND(C16*(1-C7)+C26*C7,2),"")</f>
        <v>23.31</v>
      </c>
      <c r="D30" s="146" t="n">
        <f>IF(AND(D17="",D27="",D31=""),ROUND(D16*(1-D7)+D26*D7,2),"")</f>
        <v>19.25</v>
      </c>
      <c r="E30" s="146" t="str">
        <f>IF(AND(E17="",E27="",E31=""),ROUND(E16*(1-E7)+E26*E7,2),"")</f>
      </c>
      <c r="F30" s="144" t="str">
        <v>按退货比例加权，已按分舍入。精确整批金额看「填表前归集」，不要乘显示单均。</v>
      </c>
    </row>
    <row r="31" ht="45" customHeight="1">
      <c r="A31" s="120"/>
      <c r="B31" s="120" t="str">
        <v>比例提示</v>
      </c>
      <c r="C31" s="145" t="str">
        <f>IF(COUNT(C7)=0,"填0%–100%",IF(OR(C7&lt;0,C7&gt;1),"限0%–100%",""))</f>
      </c>
      <c r="D31" s="145" t="str">
        <f>IF(COUNT(D7)=0,"填0%–100%",IF(OR(D7&lt;0,D7&gt;1),"限0%–100%",""))</f>
      </c>
      <c r="E31" s="145" t="str">
        <f>IF(COUNT(E7)=0,"填0%–100%",IF(OR(E7&lt;0,E7&gt;1),"限0%–100%",""))</f>
        <v>填0%–100%</v>
      </c>
      <c r="F31" s="136" t="str">
        <v>填齐两类金额与比例；比例限0%至100%。</v>
      </c>
    </row>
    <row r="32" ht="45" customHeight="1">
      <c r="A32" s="120"/>
      <c r="B32" s="147" t="str">
        <v>贡献盈亏点（退货比例）</v>
      </c>
      <c r="C32" s="148" t="n">
        <f>IF(OR(C17&lt;&gt;"",C27&lt;&gt;""),"",IF(AND(C16=0,C26=0),"全区间为零",IF(AND(C16&gt;0,C26&gt;0),"全区间为正",IF(AND(C16&lt;0,C26&lt;0),"全区间为负",C16/(C16-C26)))))</f>
        <v>0.4468639979136785</v>
      </c>
      <c r="D32" s="148" t="n">
        <f>IF(OR(D17&lt;&gt;"",D27&lt;&gt;""),"",IF(AND(D16=0,D26=0),"全区间为零",IF(AND(D16&gt;0,D26&gt;0),"全区间为正",IF(AND(D16&lt;0,D26&lt;0),"全区间为负",D16/(D16-D26)))))</f>
        <v>0.4106273473362081</v>
      </c>
      <c r="E32" s="148" t="str">
        <f>IF(OR(E17&lt;&gt;"",E27&lt;&gt;""),"",IF(AND(E16=0,E26=0),"全区间为零",IF(AND(E16&gt;0,E26&gt;0),"全区间为正",IF(AND(E16&lt;0,E26&lt;0),"全区间为负",E16/(E16-E26)))))</f>
      </c>
      <c r="F32" s="144" t="str">
        <v>固定当前成本，贡献为零的比例；正常赚、退货亏时为上限。</v>
      </c>
    </row>
    <row r="33" ht="57" customHeight="1">
      <c r="A33" s="120"/>
      <c r="B33" s="136" t="str">
        <v>盈亏点解读</v>
      </c>
      <c r="C33" s="136" t="str">
        <f>IF(COUNT(C32)=0,"",IF(C32=0,IF(C26&gt;0,"0%为零，其余为正","0%为零，其余为负"),IF(C32=1,IF(C16&gt;0,"100%为零，其余为正","100%为零，其余为负"),IF(C16&gt;C26,"低于此比例为正，高于为负","高于此比例为正，低于为负"))))</f>
        <v>低于此比例为正，高于为负</v>
      </c>
      <c r="D33" s="136" t="str">
        <f>IF(COUNT(D32)=0,"",IF(D32=0,IF(D26&gt;0,"0%为零，其余为正","0%为零，其余为负"),IF(D32=1,IF(D16&gt;0,"100%为零，其余为正","100%为零，其余为负"),IF(D16&gt;D26,"低于此比例为正，高于为负","高于此比例为正，低于为负"))))</f>
        <v>低于此比例为正，高于为负</v>
      </c>
      <c r="E33" s="136" t="str">
        <f>IF(COUNT(E32)=0,"",IF(E32=0,IF(E26&gt;0,"0%为零，其余为正","0%为零，其余为负"),IF(E32=1,IF(E16&gt;0,"100%为零，其余为正","100%为零，其余为负"),IF(E16&gt;E26,"低于此比例为正，高于为负","高于此比例为正，低于为负"))))</f>
      </c>
      <c r="F33" s="136" t="str">
        <v>金额填齐即可算盈亏点；仅覆盖0%-100%，不含固定成本与所得税。</v>
      </c>
    </row>
    <row r="34" ht="62" customHeight="1">
      <c r="A34" s="120"/>
      <c r="B34" s="149" t="str">
        <v>贡献按分舍入，整批金额另核。</v>
      </c>
      <c r="C34" s="149"/>
      <c r="D34" s="149"/>
      <c r="E34" s="149"/>
      <c r="F34" s="136" t="str">
        <v>11.89×100与账单1188.75可差0.25元；舍入差不等于漏算成本。</v>
      </c>
    </row>
    <row r="35" ht="62" customHeight="1">
      <c r="A35" s="120"/>
      <c r="B35" s="149" t="str">
        <v>黄色区填值；未知金额先查账。</v>
      </c>
      <c r="C35" s="149"/>
      <c r="D35" s="149"/>
      <c r="E35" s="149"/>
      <c r="F35" s="136" t="str">
        <v>先用「填表前归集」整理账单，再按映射只粘贴数值；已粘贴的方案不会自动更新。</v>
      </c>
    </row>
    <row r="36" ht="25" customHeight="1">
      <c r="A36" s="120"/>
      <c r="B36" s="120"/>
      <c r="C36" s="120"/>
      <c r="D36" s="120"/>
      <c r="E36" s="120"/>
      <c r="F36" s="120"/>
    </row>
  </sheetData>
  <sheetProtection sheet="1" objects="1" scenarios="1" formatRows="0" selectLockedCells="0" selectUnlockedCells="0"/>
  <conditionalFormatting sqref="C16:E16">
    <cfRule type="cellIs" dxfId="36" priority="19" operator="lessThan">
      <formula>0</formula>
    </cfRule>
  </conditionalFormatting>
  <conditionalFormatting sqref="C26:E26">
    <cfRule type="cellIs" dxfId="37" priority="20" operator="lessThan">
      <formula>0</formula>
    </cfRule>
  </conditionalFormatting>
  <conditionalFormatting sqref="C30:E30">
    <cfRule type="cellIs" dxfId="38" priority="21" operator="lessThan">
      <formula>0</formula>
    </cfRule>
  </conditionalFormatting>
  <conditionalFormatting sqref="C17:E17">
    <cfRule type="expression" dxfId="39" priority="22">
      <formula>C17&lt;&gt;""</formula>
    </cfRule>
  </conditionalFormatting>
  <conditionalFormatting sqref="C27:E27">
    <cfRule type="expression" dxfId="40" priority="23">
      <formula>C27&lt;&gt;""</formula>
    </cfRule>
  </conditionalFormatting>
  <conditionalFormatting sqref="C31:E31">
    <cfRule type="expression" dxfId="41" priority="24">
      <formula>C31&lt;&gt;""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26.670000076293945" hidden="0" customWidth="1"/>
    <col min="3" max="3" width="13.890000343322754" hidden="0" customWidth="1"/>
    <col min="4" max="4" width="13.890000343322754" hidden="0" customWidth="1"/>
    <col min="5" max="5" width="13.890000343322754" hidden="0" customWidth="1"/>
    <col min="6" max="6" width="40.560001373291016" hidden="0" customWidth="1"/>
  </cols>
  <sheetData>
    <row r="1" ht="38" customHeight="1">
      <c r="A1" s="120"/>
      <c r="B1" s="121" t="str">
        <v>三组虚构示例</v>
      </c>
      <c r="C1" s="122"/>
      <c r="D1" s="122"/>
      <c r="E1" s="122"/>
      <c r="F1" s="122"/>
    </row>
    <row r="2" ht="25" customHeight="1">
      <c r="A2" s="120"/>
      <c r="B2" s="123" t="str">
        <v>人民币元 / 单品 / 两类已发货订单 / v0.3</v>
      </c>
      <c r="C2" s="123"/>
      <c r="D2" s="123"/>
      <c r="E2" s="123"/>
      <c r="F2" s="123"/>
    </row>
    <row r="3" ht="32" customHeight="1">
      <c r="A3" s="120"/>
      <c r="B3" s="120" t="str">
        <v>黄色可修改，白色公式已保护。</v>
      </c>
      <c r="C3" s="120"/>
      <c r="D3" s="120"/>
      <c r="E3" s="120"/>
      <c r="F3" s="120" t="str">
        <v>全部数据为虚构，不代表真实店铺。</v>
      </c>
    </row>
    <row r="4" ht="25" customHeight="1">
      <c r="A4" s="120"/>
      <c r="B4" s="120"/>
      <c r="C4" s="120"/>
      <c r="D4" s="120"/>
      <c r="E4" s="120"/>
      <c r="F4" s="120"/>
    </row>
    <row r="5" ht="30" customHeight="1">
      <c r="A5" s="120"/>
      <c r="B5" s="132" t="str">
        <v>项目</v>
      </c>
      <c r="C5" s="133" t="str">
        <v>基础款</v>
      </c>
      <c r="D5" s="133" t="str">
        <v>运费增加</v>
      </c>
      <c r="E5" s="133" t="str">
        <v>收入变化</v>
      </c>
      <c r="F5" s="134" t="str">
        <v>填写说明</v>
      </c>
    </row>
    <row r="6" ht="68" customHeight="1">
      <c r="A6" s="120"/>
      <c r="B6" s="120" t="str">
        <v>商品名称</v>
      </c>
      <c r="C6" s="135" t="str">
        <v>虚构商品A</v>
      </c>
      <c r="D6" s="135" t="str">
        <v>虚构商品B</v>
      </c>
      <c r="E6" s="135" t="str">
        <v>虚构商品C</v>
      </c>
      <c r="F6" s="136" t="str">
        <v>便于识别方案，可留空。</v>
      </c>
    </row>
    <row r="7" ht="54" customHeight="1">
      <c r="A7" s="120"/>
      <c r="B7" s="120" t="str">
        <v>退货比例</v>
      </c>
      <c r="C7" s="137" t="n">
        <v>0.1</v>
      </c>
      <c r="D7" s="137" t="n">
        <v>0.1</v>
      </c>
      <c r="E7" s="137" t="n">
        <v>0.2</v>
      </c>
      <c r="F7" s="136" t="str">
        <v>只用正常+退货作分母。混合售后例：4÷36=11.11%，不是4÷39。</v>
      </c>
    </row>
    <row r="8" ht="25" customHeight="1">
      <c r="A8" s="120"/>
      <c r="B8" s="120"/>
      <c r="C8" s="120"/>
      <c r="D8" s="120"/>
      <c r="E8" s="120"/>
      <c r="F8" s="136"/>
    </row>
    <row r="9" ht="25" customHeight="1">
      <c r="A9" s="120"/>
      <c r="B9" s="138" t="str">
        <v>正常完成订单</v>
      </c>
      <c r="C9" s="139"/>
      <c r="D9" s="139"/>
      <c r="E9" s="139"/>
      <c r="F9" s="140"/>
    </row>
    <row r="10" ht="45" customHeight="1">
      <c r="A10" s="120"/>
      <c r="B10" s="120" t="str">
        <v>销售收入</v>
      </c>
      <c r="C10" s="141" t="n">
        <v>100</v>
      </c>
      <c r="D10" s="141" t="n">
        <v>100</v>
      </c>
      <c r="E10" s="141" t="n">
        <v>120</v>
      </c>
      <c r="F10" s="136" t="str">
        <v>成交79元填79；若填扣费后净到账75.05，已扣平台费在下方填0。</v>
      </c>
    </row>
    <row r="11" ht="25" customHeight="1">
      <c r="A11" s="120"/>
      <c r="B11" s="120" t="str">
        <v>商品成本</v>
      </c>
      <c r="C11" s="141" t="n">
        <v>40</v>
      </c>
      <c r="D11" s="141" t="n">
        <v>40</v>
      </c>
      <c r="E11" s="141" t="n">
        <v>40</v>
      </c>
      <c r="F11" s="136" t="str">
        <v>正常订单的商品成本。</v>
      </c>
    </row>
    <row r="12" ht="25" customHeight="1">
      <c r="A12" s="120"/>
      <c r="B12" s="120" t="str">
        <v>发货费用</v>
      </c>
      <c r="C12" s="141" t="n">
        <v>8</v>
      </c>
      <c r="D12" s="141" t="n">
        <v>12</v>
      </c>
      <c r="E12" s="141" t="n">
        <v>8</v>
      </c>
      <c r="F12" s="136" t="str">
        <v>正常订单实际承担的发货费用。</v>
      </c>
    </row>
    <row r="13" ht="45" customHeight="1">
      <c r="A13" s="120"/>
      <c r="B13" s="120" t="str">
        <v>平台扣费</v>
      </c>
      <c r="C13" s="141" t="n">
        <v>5</v>
      </c>
      <c r="D13" s="141" t="n">
        <v>5</v>
      </c>
      <c r="E13" s="141" t="n">
        <v>6</v>
      </c>
      <c r="F13" s="136" t="str">
        <v>成交79元扣3.95：收入79、费用3.95；或收入75.05、费用0。</v>
      </c>
    </row>
    <row r="14" ht="45" customHeight="1">
      <c r="A14" s="120"/>
      <c r="B14" s="120" t="str">
        <v>分摊广告费</v>
      </c>
      <c r="C14" s="141" t="n">
        <v>10</v>
      </c>
      <c r="D14" s="141" t="n">
        <v>10</v>
      </c>
      <c r="E14" s="141" t="n">
        <v>12</v>
      </c>
      <c r="F14" s="136" t="str">
        <v>同批100单发货、广告1000元，两类各填10元。详见「使用说明」。</v>
      </c>
    </row>
    <row r="15" ht="54" customHeight="1">
      <c r="A15" s="120"/>
      <c r="B15" s="120" t="str">
        <v>其他变动成本</v>
      </c>
      <c r="C15" s="141" t="n">
        <v>2</v>
      </c>
      <c r="D15" s="141" t="n">
        <v>2</v>
      </c>
      <c r="E15" s="141" t="n">
        <v>2</v>
      </c>
      <c r="F15" s="136" t="str">
        <v>含包装、已付计件人工；已计商品成本或收入已扣项目勿重复。</v>
      </c>
    </row>
    <row r="16" ht="45" customHeight="1">
      <c r="A16" s="120"/>
      <c r="B16" s="142" t="str">
        <v>正常单贡献</v>
      </c>
      <c r="C16" s="143" t="n">
        <f>IF(C17="",ROUND(C10-SUM(C11:C15),2),"")</f>
        <v>35</v>
      </c>
      <c r="D16" s="143" t="n">
        <f>IF(D17="",ROUND(D10-SUM(D11:D15),2),"")</f>
        <v>31</v>
      </c>
      <c r="E16" s="143" t="n">
        <f>IF(E17="",ROUND(E10-SUM(E11:E15),2),"")</f>
        <v>52</v>
      </c>
      <c r="F16" s="144" t="str">
        <v>销售收入减各项成本；已从收入扣掉的费用不再扣。</v>
      </c>
    </row>
    <row r="17" ht="25" customHeight="1">
      <c r="A17" s="120"/>
      <c r="B17" s="120" t="str">
        <v>输入提示</v>
      </c>
      <c r="C17" s="145" t="str">
        <f>IF(COUNT(C10:C15)&lt;6,"填齐6个金额",IF(MIN(C10:C15)&lt;0,"金额不能为负",""))</f>
      </c>
      <c r="D17" s="145" t="str">
        <f>IF(COUNT(D10:D15)&lt;6,"填齐6个金额",IF(MIN(D10:D15)&lt;0,"金额不能为负",""))</f>
      </c>
      <c r="E17" s="145" t="str">
        <f>IF(COUNT(E10:E15)&lt;6,"填齐6个金额",IF(MIN(E10:E15)&lt;0,"金额不能为负",""))</f>
      </c>
      <c r="F17" s="136" t="str"/>
    </row>
    <row r="18" ht="25" customHeight="1">
      <c r="A18" s="120"/>
      <c r="B18" s="120"/>
      <c r="C18" s="120"/>
      <c r="D18" s="120"/>
      <c r="E18" s="120"/>
      <c r="F18" s="136"/>
    </row>
    <row r="19" ht="25" customHeight="1">
      <c r="A19" s="120"/>
      <c r="B19" s="138" t="str">
        <v>退货订单</v>
      </c>
      <c r="C19" s="139"/>
      <c r="D19" s="139"/>
      <c r="E19" s="139"/>
      <c r="F19" s="140"/>
    </row>
    <row r="20" ht="45" customHeight="1">
      <c r="A20" s="120"/>
      <c r="B20" s="120" t="str">
        <v>退款后保留收入</v>
      </c>
      <c r="C20" s="141" t="n">
        <v>0</v>
      </c>
      <c r="D20" s="141" t="n">
        <v>0</v>
      </c>
      <c r="E20" s="141" t="n">
        <v>0</v>
      </c>
      <c r="F20" s="136" t="str">
        <v>全额退款填0。已扣除的费用勿再填。仅退款未退货不在本模型范围。</v>
      </c>
    </row>
    <row r="21" ht="54" customHeight="1">
      <c r="A21" s="120"/>
      <c r="B21" s="120" t="str">
        <v>不可回收商品成本</v>
      </c>
      <c r="C21" s="141" t="n">
        <v>0</v>
      </c>
      <c r="D21" s="141" t="n">
        <v>0</v>
      </c>
      <c r="E21" s="141" t="n">
        <v>0</v>
      </c>
      <c r="F21" s="136" t="str">
        <v>部分回收按成本估值扣除，不用未来售价。例152-24=128，4笔平均32。</v>
      </c>
    </row>
    <row r="22" ht="25" customHeight="1">
      <c r="A22" s="120"/>
      <c r="B22" s="120" t="str">
        <v>发货及退回费用</v>
      </c>
      <c r="C22" s="141" t="n">
        <v>16</v>
      </c>
      <c r="D22" s="141" t="n">
        <v>20</v>
      </c>
      <c r="E22" s="141" t="n">
        <v>16</v>
      </c>
      <c r="F22" s="136" t="str">
        <v>退货情景中承担的出库及退回运费合计。</v>
      </c>
    </row>
    <row r="23" ht="25" customHeight="1">
      <c r="A23" s="120"/>
      <c r="B23" s="120" t="str">
        <v>未退平台费</v>
      </c>
      <c r="C23" s="141" t="n">
        <v>0</v>
      </c>
      <c r="D23" s="141" t="n">
        <v>0</v>
      </c>
      <c r="E23" s="141" t="n">
        <v>0</v>
      </c>
      <c r="F23" s="136" t="str">
        <v>退款后仍承担的手续费，避免重复扣除。</v>
      </c>
    </row>
    <row r="24" ht="45" customHeight="1">
      <c r="A24" s="120"/>
      <c r="B24" s="120" t="str">
        <v>分摊广告费</v>
      </c>
      <c r="C24" s="141" t="n">
        <v>10</v>
      </c>
      <c r="D24" s="141" t="n">
        <v>10</v>
      </c>
      <c r="E24" s="141" t="n">
        <v>12</v>
      </c>
      <c r="F24" s="136" t="str">
        <v>与正常单使用同批分摊口径；上例退货单也填10元。</v>
      </c>
    </row>
    <row r="25" ht="54" customHeight="1">
      <c r="A25" s="120"/>
      <c r="B25" s="120" t="str">
        <v>其他退货成本</v>
      </c>
      <c r="C25" s="141" t="n">
        <v>2</v>
      </c>
      <c r="D25" s="141" t="n">
        <v>2</v>
      </c>
      <c r="E25" s="141" t="n">
        <v>2</v>
      </c>
      <c r="F25" s="136" t="str">
        <v>含已付计件人工、包装及检验；已计商品成本或收入已扣费用勿重复。</v>
      </c>
    </row>
    <row r="26" ht="25" customHeight="1">
      <c r="A26" s="120"/>
      <c r="B26" s="142" t="str">
        <v>退货单贡献</v>
      </c>
      <c r="C26" s="143" t="n">
        <f>IF(C27="",ROUND(C20-SUM(C21:C25),2),"")</f>
        <v>-28</v>
      </c>
      <c r="D26" s="143" t="n">
        <f>IF(D27="",ROUND(D20-SUM(D21:D25),2),"")</f>
        <v>-32</v>
      </c>
      <c r="E26" s="143" t="n">
        <f>IF(E27="",ROUND(E20-SUM(E21:E25),2),"")</f>
        <v>-30</v>
      </c>
      <c r="F26" s="144" t="str">
        <v>退款后收入减该情景的不可回收成本。</v>
      </c>
    </row>
    <row r="27" ht="25" customHeight="1">
      <c r="A27" s="120"/>
      <c r="B27" s="120" t="str">
        <v>输入提示</v>
      </c>
      <c r="C27" s="145" t="str">
        <f>IF(COUNT(C20:C25)&lt;6,"填齐6个金额",IF(MIN(C20:C25)&lt;0,"金额不能为负",""))</f>
      </c>
      <c r="D27" s="145" t="str">
        <f>IF(COUNT(D20:D25)&lt;6,"填齐6个金额",IF(MIN(D20:D25)&lt;0,"金额不能为负",""))</f>
      </c>
      <c r="E27" s="145" t="str">
        <f>IF(COUNT(E20:E25)&lt;6,"填齐6个金额",IF(MIN(E20:E25)&lt;0,"金额不能为负",""))</f>
      </c>
      <c r="F27" s="136" t="str"/>
    </row>
    <row r="28" ht="25" customHeight="1">
      <c r="A28" s="120"/>
      <c r="B28" s="120"/>
      <c r="C28" s="120"/>
      <c r="D28" s="120"/>
      <c r="E28" s="120"/>
      <c r="F28" s="136"/>
    </row>
    <row r="29" ht="25" customHeight="1">
      <c r="A29" s="120"/>
      <c r="B29" s="138" t="str">
        <v>两种情景加权</v>
      </c>
      <c r="C29" s="139"/>
      <c r="D29" s="139"/>
      <c r="E29" s="139"/>
      <c r="F29" s="140"/>
    </row>
    <row r="30" ht="62" customHeight="1">
      <c r="A30" s="120"/>
      <c r="B30" s="142" t="str">
        <v>情景单均贡献</v>
      </c>
      <c r="C30" s="146" t="n">
        <f>IF(AND(C17="",C27="",C31=""),ROUND(C16*(1-C7)+C26*C7,2),"")</f>
        <v>28.7</v>
      </c>
      <c r="D30" s="146" t="n">
        <f>IF(AND(D17="",D27="",D31=""),ROUND(D16*(1-D7)+D26*D7,2),"")</f>
        <v>24.7</v>
      </c>
      <c r="E30" s="146" t="n">
        <f>IF(AND(E17="",E27="",E31=""),ROUND(E16*(1-E7)+E26*E7,2),"")</f>
        <v>35.6</v>
      </c>
      <c r="F30" s="144" t="str">
        <v>按退货比例加权，已按分舍入。精确整批金额看「填表前归集」，不要乘显示单均。</v>
      </c>
    </row>
    <row r="31" ht="45" customHeight="1">
      <c r="A31" s="120"/>
      <c r="B31" s="120" t="str">
        <v>比例提示</v>
      </c>
      <c r="C31" s="145" t="str">
        <f>IF(COUNT(C7)=0,"填0%–100%",IF(OR(C7&lt;0,C7&gt;1),"限0%–100%",""))</f>
      </c>
      <c r="D31" s="145" t="str">
        <f>IF(COUNT(D7)=0,"填0%–100%",IF(OR(D7&lt;0,D7&gt;1),"限0%–100%",""))</f>
      </c>
      <c r="E31" s="145" t="str">
        <f>IF(COUNT(E7)=0,"填0%–100%",IF(OR(E7&lt;0,E7&gt;1),"限0%–100%",""))</f>
      </c>
      <c r="F31" s="136" t="str">
        <v>填齐两类金额与比例；比例限0%至100%。</v>
      </c>
    </row>
    <row r="32" ht="45" customHeight="1">
      <c r="A32" s="120"/>
      <c r="B32" s="147" t="str">
        <v>贡献盈亏点（退货比例）</v>
      </c>
      <c r="C32" s="148" t="n">
        <f>IF(OR(C17&lt;&gt;"",C27&lt;&gt;""),"",IF(AND(C16=0,C26=0),"全区间为零",IF(AND(C16&gt;0,C26&gt;0),"全区间为正",IF(AND(C16&lt;0,C26&lt;0),"全区间为负",C16/(C16-C26)))))</f>
        <v>0.5555555555555556</v>
      </c>
      <c r="D32" s="148" t="n">
        <f>IF(OR(D17&lt;&gt;"",D27&lt;&gt;""),"",IF(AND(D16=0,D26=0),"全区间为零",IF(AND(D16&gt;0,D26&gt;0),"全区间为正",IF(AND(D16&lt;0,D26&lt;0),"全区间为负",D16/(D16-D26)))))</f>
        <v>0.49206349206349204</v>
      </c>
      <c r="E32" s="148" t="n">
        <f>IF(OR(E17&lt;&gt;"",E27&lt;&gt;""),"",IF(AND(E16=0,E26=0),"全区间为零",IF(AND(E16&gt;0,E26&gt;0),"全区间为正",IF(AND(E16&lt;0,E26&lt;0),"全区间为负",E16/(E16-E26)))))</f>
        <v>0.6341463414634146</v>
      </c>
      <c r="F32" s="144" t="str">
        <v>固定当前成本，贡献为零的比例；正常赚、退货亏时为上限。</v>
      </c>
    </row>
    <row r="33" ht="57" customHeight="1">
      <c r="A33" s="120"/>
      <c r="B33" s="136" t="str">
        <v>盈亏点解读</v>
      </c>
      <c r="C33" s="136" t="str">
        <f>IF(COUNT(C32)=0,"",IF(C32=0,IF(C26&gt;0,"0%为零，其余为正","0%为零，其余为负"),IF(C32=1,IF(C16&gt;0,"100%为零，其余为正","100%为零，其余为负"),IF(C16&gt;C26,"低于此比例为正，高于为负","高于此比例为正，低于为负"))))</f>
        <v>低于此比例为正，高于为负</v>
      </c>
      <c r="D33" s="136" t="str">
        <f>IF(COUNT(D32)=0,"",IF(D32=0,IF(D26&gt;0,"0%为零，其余为正","0%为零，其余为负"),IF(D32=1,IF(D16&gt;0,"100%为零，其余为正","100%为零，其余为负"),IF(D16&gt;D26,"低于此比例为正，高于为负","高于此比例为正，低于为负"))))</f>
        <v>低于此比例为正，高于为负</v>
      </c>
      <c r="E33" s="136" t="str">
        <f>IF(COUNT(E32)=0,"",IF(E32=0,IF(E26&gt;0,"0%为零，其余为正","0%为零，其余为负"),IF(E32=1,IF(E16&gt;0,"100%为零，其余为正","100%为零，其余为负"),IF(E16&gt;E26,"低于此比例为正，高于为负","高于此比例为正，低于为负"))))</f>
        <v>低于此比例为正，高于为负</v>
      </c>
      <c r="F33" s="136" t="str">
        <v>金额填齐即可算盈亏点；仅覆盖0%-100%，不含固定成本与所得税。</v>
      </c>
    </row>
    <row r="34" ht="62" customHeight="1">
      <c r="A34" s="120"/>
      <c r="B34" s="149" t="str">
        <v>贡献按分舍入，整批金额另核。</v>
      </c>
      <c r="C34" s="149"/>
      <c r="D34" s="149"/>
      <c r="E34" s="149"/>
      <c r="F34" s="136" t="str">
        <v>11.89×100与账单1188.75可差0.25元；舍入差不等于漏算成本。</v>
      </c>
    </row>
    <row r="35" ht="62" customHeight="1">
      <c r="A35" s="120"/>
      <c r="B35" s="149" t="str">
        <v>黄色区填值；未知金额先查账。</v>
      </c>
      <c r="C35" s="149"/>
      <c r="D35" s="149"/>
      <c r="E35" s="149"/>
      <c r="F35" s="136" t="str">
        <v>先用「填表前归集」整理账单，再按映射只粘贴数值；已粘贴的方案不会自动更新。</v>
      </c>
    </row>
    <row r="36" ht="25" customHeight="1">
      <c r="A36" s="120"/>
      <c r="B36" s="120"/>
      <c r="C36" s="120"/>
      <c r="D36" s="120"/>
      <c r="E36" s="120"/>
      <c r="F36" s="120"/>
    </row>
  </sheetData>
  <sheetProtection sheet="1" objects="1" scenarios="1" formatRows="0" selectLockedCells="0" selectUnlockedCells="0"/>
  <conditionalFormatting sqref="C16:E16">
    <cfRule type="cellIs" dxfId="42" priority="19" operator="lessThan">
      <formula>0</formula>
    </cfRule>
  </conditionalFormatting>
  <conditionalFormatting sqref="C26:E26">
    <cfRule type="cellIs" dxfId="43" priority="20" operator="lessThan">
      <formula>0</formula>
    </cfRule>
  </conditionalFormatting>
  <conditionalFormatting sqref="C30:E30">
    <cfRule type="cellIs" dxfId="44" priority="21" operator="lessThan">
      <formula>0</formula>
    </cfRule>
  </conditionalFormatting>
  <conditionalFormatting sqref="C17:E17">
    <cfRule type="expression" dxfId="45" priority="22">
      <formula>C17&lt;&gt;""</formula>
    </cfRule>
  </conditionalFormatting>
  <conditionalFormatting sqref="C27:E27">
    <cfRule type="expression" dxfId="46" priority="23">
      <formula>C27&lt;&gt;""</formula>
    </cfRule>
  </conditionalFormatting>
  <conditionalFormatting sqref="C31:E31">
    <cfRule type="expression" dxfId="47" priority="24">
      <formula>C31&lt;&gt;""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3" hidden="0" customWidth="1"/>
    <col min="2" max="2" width="29" hidden="0" customWidth="1"/>
    <col min="3" max="3" width="18" hidden="0" customWidth="1"/>
    <col min="4" max="4" width="18" hidden="0" customWidth="1"/>
    <col min="5" max="5" width="13" hidden="0" customWidth="1"/>
    <col min="6" max="6" width="56" hidden="0" customWidth="1"/>
  </cols>
  <sheetData>
    <row r="1" ht="36" customHeight="1">
      <c r="B1" s="150" t="str">
        <v>填表前数据归集</v>
      </c>
      <c r="C1" s="151"/>
      <c r="D1" s="151"/>
      <c r="E1" s="151"/>
      <c r="F1" s="151"/>
    </row>
    <row r="2" ht="24" customHeight="1">
      <c r="B2" s="125" t="str">
        <v>人民币元 / 单商品 / v0.3</v>
      </c>
      <c r="C2" s="125"/>
      <c r="D2" s="125"/>
      <c r="E2" s="125"/>
      <c r="F2" s="125" t="str">
        <v>同批订单，售后已结束。</v>
      </c>
    </row>
    <row r="3" ht="55" customHeight="1">
      <c r="B3" s="125" t="str">
        <v>先填黄色区，再复制页顶结果。</v>
      </c>
      <c r="C3" s="125"/>
      <c r="D3" s="125"/>
      <c r="E3" s="125"/>
      <c r="F3" s="125" t="str">
        <v>归集页不自动更新三方案。未知金额留空；确认无费用填0。</v>
      </c>
    </row>
    <row r="4" ht="44" customHeight="1">
      <c r="B4" s="125"/>
      <c r="C4" s="125"/>
      <c r="D4" s="125"/>
      <c r="E4" s="125"/>
      <c r="F4" s="125"/>
    </row>
    <row r="5" ht="42" customHeight="1">
      <c r="B5" s="152" t="str">
        <v>换算后的单笔金额</v>
      </c>
      <c r="C5" s="152" t="str">
        <v>正常完成</v>
      </c>
      <c r="D5" s="152" t="str">
        <v>退货</v>
      </c>
      <c r="E5" s="152" t="str">
        <v>粘贴到方案一</v>
      </c>
      <c r="F5" s="152" t="str">
        <v>填写说明</v>
      </c>
    </row>
    <row r="6" ht="44" customHeight="1">
      <c r="B6" s="125"/>
      <c r="C6" s="153"/>
      <c r="D6" s="153"/>
      <c r="E6" s="125"/>
      <c r="F6" s="136"/>
    </row>
    <row r="7" ht="44" customHeight="1">
      <c r="B7" s="125" t="str">
        <v>退货比例</v>
      </c>
      <c r="C7" s="154" t="n">
        <f>IF(C37="",C30/C35,"")</f>
        <v>0.14285714285714285</v>
      </c>
      <c r="D7" s="153"/>
      <c r="E7" s="125" t="str">
        <v>C7</v>
      </c>
      <c r="F7" s="136" t="str">
        <v>仅正常完成与退货两类。排除仅退款、换货、未发货及其他类别。</v>
      </c>
    </row>
    <row r="8" ht="44" customHeight="1">
      <c r="B8" s="125"/>
      <c r="C8" s="153"/>
      <c r="D8" s="153"/>
      <c r="E8" s="125"/>
      <c r="F8" s="136"/>
    </row>
    <row r="9" ht="44" customHeight="1">
      <c r="B9" s="125" t="str">
        <v>收入 / 保留收入</v>
      </c>
      <c r="C9" s="153" t="n">
        <f>IF(C62="",IF(C29=0,0,C41/C29),"")</f>
        <v>89</v>
      </c>
      <c r="D9" s="153" t="n">
        <f>IF(D62="",IF(C30=0,0,D41/C30),"")</f>
        <v>0</v>
      </c>
      <c r="E9" s="155" t="str">
        <v>10 / 20</v>
      </c>
      <c r="F9" s="136" t="str">
        <v>C列复制到C10，D列到C20；依次向下。金额存储不提前舍入。</v>
      </c>
    </row>
    <row r="10" ht="44" customHeight="1">
      <c r="B10" s="125" t="str">
        <v>商品成本 / 不可回收成本</v>
      </c>
      <c r="C10" s="153" t="n">
        <f>IF(C62="",IF(C29=0,0,C42/C29),"")</f>
        <v>32.599999999999994</v>
      </c>
      <c r="D10" s="153" t="n">
        <f>IF(D62="",IF(C30=0,0,D42/C30),"")</f>
        <v>14.533333333333331</v>
      </c>
      <c r="E10" s="155" t="str">
        <v>11 / 21</v>
      </c>
      <c r="F10" s="136" t="str">
        <v>退货不可回收金额来自下方原成本减可回收成本。</v>
      </c>
    </row>
    <row r="11" ht="44" customHeight="1">
      <c r="B11" s="125" t="str">
        <v>发货 / 发货及退回费用</v>
      </c>
      <c r="C11" s="153" t="n">
        <f>IF(C62="",IF(C29=0,0,C43/C29),"")</f>
        <v>5.466666666666667</v>
      </c>
      <c r="D11" s="153" t="n">
        <f>IF(D62="",IF(C30=0,0,D43/C30),"")</f>
        <v>13.233333333333334</v>
      </c>
      <c r="E11" s="155" t="str">
        <v>12 / 22</v>
      </c>
      <c r="F11" s="136" t="str">
        <v>退货列包括卖家承担的出库与回程运费。</v>
      </c>
    </row>
    <row r="12" ht="44" customHeight="1">
      <c r="B12" s="125" t="str">
        <v>平台费 / 未退平台费</v>
      </c>
      <c r="C12" s="153" t="n">
        <f>IF(C62="",IF(C29=0,0,C44/C29),"")</f>
        <v>4.65</v>
      </c>
      <c r="D12" s="153" t="n">
        <f>IF(D62="",IF(C30=0,0,D44/C30),"")</f>
        <v>1.09</v>
      </c>
      <c r="E12" s="155" t="str">
        <v>13 / 23</v>
      </c>
      <c r="F12" s="136" t="str">
        <v>收入已扣费用的，对应成本总额填0。</v>
      </c>
    </row>
    <row r="13" ht="44" customHeight="1">
      <c r="B13" s="125" t="str">
        <v>分摊广告费</v>
      </c>
      <c r="C13" s="153" t="n">
        <f>IF(C62="",IF(C29=0,0,C45/C29),"")</f>
        <v>8.116666666666667</v>
      </c>
      <c r="D13" s="153" t="n">
        <f>IF(D62="",IF(C30=0,0,D45/C30),"")</f>
        <v>8.216666666666667</v>
      </c>
      <c r="E13" s="155" t="str">
        <v>14 / 24</v>
      </c>
      <c r="F13" s="136" t="str">
        <v>使用下方平均分摊，或分别归集且核对广告总额。</v>
      </c>
    </row>
    <row r="14" ht="44" customHeight="1">
      <c r="B14" s="125" t="str">
        <v>其他变动成本</v>
      </c>
      <c r="C14" s="153" t="n">
        <f>IF(C62="",IF(C29=0,0,SUM(C46:C48)/C29),"")</f>
        <v>3.9000000000000004</v>
      </c>
      <c r="D14" s="153" t="n">
        <f>IF(D62="",IF(C30=0,0,SUM(D46:D48)/C30),"")</f>
        <v>5.3500000000000005</v>
      </c>
      <c r="E14" s="155" t="str">
        <v>15 / 25</v>
      </c>
      <c r="F14" s="136" t="str">
        <v>包装+已付计件人工+其他变动成本；避免重复。</v>
      </c>
    </row>
    <row r="15" ht="44" customHeight="1">
      <c r="B15" s="125"/>
      <c r="C15" s="153"/>
      <c r="D15" s="153"/>
      <c r="E15" s="125"/>
      <c r="F15" s="136"/>
    </row>
    <row r="16" ht="44" customHeight="1">
      <c r="B16" s="125" t="str">
        <v>单笔贡献（未舍入）</v>
      </c>
      <c r="C16" s="156" t="n">
        <f>IF(C62="",C9-SUM(C10:C14),"")</f>
        <v>34.26666666666667</v>
      </c>
      <c r="D16" s="156" t="n">
        <f>IF(D62="",D9-SUM(D10:D14),"")</f>
        <v>-42.42333333333333</v>
      </c>
      <c r="E16" s="125" t="str">
        <v>元</v>
      </c>
      <c r="F16" s="136" t="str">
        <v>本页直接用未提前舍入的单均金额计算。场景页两类贡献会先按分舍入。</v>
      </c>
    </row>
    <row r="17" ht="44" customHeight="1">
      <c r="B17" s="125"/>
      <c r="C17" s="153"/>
      <c r="D17" s="153"/>
      <c r="E17" s="125"/>
      <c r="F17" s="136"/>
    </row>
    <row r="18" ht="44" customHeight="1">
      <c r="B18" s="157" t="str">
        <v>模型内整批贡献</v>
      </c>
      <c r="C18" s="158" t="n">
        <f>IF(AND(C62="",D62=""),(C41-SUM(C42:C48))+(D41-SUM(D42:D48)),"")</f>
        <v>489.53</v>
      </c>
      <c r="D18" s="153"/>
      <c r="E18" s="125" t="str">
        <v>元</v>
      </c>
      <c r="F18" s="136" t="str">
        <v>按两类原始总额直接相减，不用显示单均乘单数。排除类别另算。</v>
      </c>
    </row>
    <row r="19" ht="44" customHeight="1">
      <c r="B19" s="157" t="str">
        <v>整批贡献 ÷ 模型内单数</v>
      </c>
      <c r="C19" s="159" t="n">
        <f>IF(COUNT(C18)=1,C18/C35,"")</f>
        <v>23.31095238095238</v>
      </c>
      <c r="D19" s="153"/>
      <c r="E19" s="125" t="str">
        <v>元/单</v>
      </c>
      <c r="F19" s="136" t="str">
        <v>保留未舍入计算值；显示4位小数仍可能有显示舍入。</v>
      </c>
    </row>
    <row r="20" ht="44" customHeight="1">
      <c r="B20" s="157" t="str">
        <v>上述单均按分显示</v>
      </c>
      <c r="C20" s="158" t="n">
        <f>IF(COUNT(C19)=1,ROUND(C19,2),"")</f>
        <v>23.31</v>
      </c>
      <c r="D20" s="153"/>
      <c r="E20" s="125" t="str">
        <v>元/单</v>
      </c>
      <c r="F20" s="136" t="str">
        <v>精确整批金额看第18行。不要用本行显示值反推批次总额。</v>
      </c>
    </row>
    <row r="21" ht="65" customHeight="1">
      <c r="B21" s="125" t="str">
        <v>正常 / 退货输入提示</v>
      </c>
      <c r="C21" s="153" t="str">
        <f>IF(C62="","",C62)</f>
      </c>
      <c r="D21" s="153" t="str">
        <f>IF(D62="","",D62)</f>
      </c>
      <c r="E21" s="125" t="str"/>
      <c r="F21" s="136" t="str">
        <v>先处理提示再复制；空白不代表金额为0。</v>
      </c>
    </row>
    <row r="22" ht="44" customHeight="1">
      <c r="B22" s="125"/>
      <c r="C22" s="153"/>
      <c r="D22" s="153"/>
      <c r="E22" s="125"/>
      <c r="F22" s="136"/>
    </row>
    <row r="23" ht="44" customHeight="1">
      <c r="B23" s="125"/>
      <c r="C23" s="153"/>
      <c r="D23" s="153"/>
      <c r="E23" s="125"/>
      <c r="F23" s="136"/>
    </row>
    <row r="24" ht="44" customHeight="1">
      <c r="B24" s="125"/>
      <c r="C24" s="153"/>
      <c r="D24" s="153"/>
      <c r="E24" s="125"/>
      <c r="F24" s="136"/>
    </row>
    <row r="25" ht="31" customHeight="1">
      <c r="B25" s="160" t="str">
        <v>1. 商品与互斥订单分类</v>
      </c>
      <c r="C25" s="161"/>
      <c r="D25" s="161"/>
      <c r="E25" s="160"/>
      <c r="F25" s="160"/>
    </row>
    <row r="26" ht="44" customHeight="1">
      <c r="B26" s="125" t="str">
        <v>商品名称</v>
      </c>
      <c r="C26" s="162" t="str">
        <v>模拟保温杯500mL</v>
      </c>
      <c r="D26" s="153"/>
      <c r="E26" s="125" t="str"/>
      <c r="F26" s="136" t="str">
        <v>用于标识归集对象，可脱敏。</v>
      </c>
    </row>
    <row r="27" ht="44" customHeight="1">
      <c r="B27" s="125" t="str">
        <v>批次 / 账单范围</v>
      </c>
      <c r="C27" s="162" t="str">
        <v>模拟2026-09批次A
09-22售后已结束</v>
      </c>
      <c r="D27" s="153"/>
      <c r="E27" s="125" t="str"/>
      <c r="F27" s="136" t="str">
        <v>同商品、同批且售后已结束。填写期间或账单标识。</v>
      </c>
    </row>
    <row r="28" ht="44" customHeight="1">
      <c r="B28" s="125" t="str">
        <v>记录总数</v>
      </c>
      <c r="C28" s="163" t="n">
        <v>24</v>
      </c>
      <c r="D28" s="153"/>
      <c r="E28" s="125" t="str">
        <v>单</v>
      </c>
      <c r="F28" s="136" t="str">
        <v>下面六类数量之和须等于本行。每笔只归一个类别。</v>
      </c>
    </row>
    <row r="29" ht="44" customHeight="1">
      <c r="B29" s="125" t="str">
        <v>正常完成单数</v>
      </c>
      <c r="C29" s="163" t="n">
        <v>18</v>
      </c>
      <c r="D29" s="153"/>
      <c r="E29" s="125" t="str">
        <v>单</v>
      </c>
      <c r="F29" s="136" t="str">
        <v>最终正常完成，排除换货与仅退款。</v>
      </c>
    </row>
    <row r="30" ht="44" customHeight="1">
      <c r="B30" s="125" t="str">
        <v>退货单数</v>
      </c>
      <c r="C30" s="163" t="n">
        <v>3</v>
      </c>
      <c r="D30" s="153"/>
      <c r="E30" s="125" t="str">
        <v>单</v>
      </c>
      <c r="F30" s="136" t="str">
        <v>商品实际退回并结清。</v>
      </c>
    </row>
    <row r="31" ht="44" customHeight="1">
      <c r="B31" s="125" t="str">
        <v>未发货取消 / 退款</v>
      </c>
      <c r="C31" s="163" t="n">
        <v>1</v>
      </c>
      <c r="D31" s="153"/>
      <c r="E31" s="125" t="str">
        <v>单</v>
      </c>
      <c r="F31" s="136" t="str">
        <v>范围外，费用另算。没有则填0。</v>
      </c>
    </row>
    <row r="32" ht="44" customHeight="1">
      <c r="B32" s="125" t="str">
        <v>仅退款未退货</v>
      </c>
      <c r="C32" s="163" t="n">
        <v>1</v>
      </c>
      <c r="D32" s="153"/>
      <c r="E32" s="125" t="str">
        <v>单</v>
      </c>
      <c r="F32" s="136" t="str">
        <v>范围外，不计入退货分母。没有则填0。</v>
      </c>
    </row>
    <row r="33" ht="44" customHeight="1">
      <c r="B33" s="125" t="str">
        <v>换货单数</v>
      </c>
      <c r="C33" s="163" t="n">
        <v>1</v>
      </c>
      <c r="D33" s="153"/>
      <c r="E33" s="125" t="str">
        <v>单</v>
      </c>
      <c r="F33" s="136" t="str">
        <v>范围外，不计入正常或退货。没有则填0。</v>
      </c>
    </row>
    <row r="34" ht="44" customHeight="1">
      <c r="B34" s="125" t="str">
        <v>其他范围外单数</v>
      </c>
      <c r="C34" s="163" t="n">
        <v>0</v>
      </c>
      <c r="D34" s="153"/>
      <c r="E34" s="125" t="str">
        <v>单</v>
      </c>
      <c r="F34" s="136" t="str">
        <v>无法归入上述两类的订单另算；没有则填0。</v>
      </c>
    </row>
    <row r="35" ht="44" customHeight="1">
      <c r="B35" s="125" t="str">
        <v>模型内单数</v>
      </c>
      <c r="C35" s="164" t="n">
        <f>IF(C37="",SUM(C29:C30),"")</f>
        <v>21</v>
      </c>
      <c r="D35" s="153"/>
      <c r="E35" s="125" t="str">
        <v>单</v>
      </c>
      <c r="F35" s="136" t="str">
        <v>正常完成+退货。广告、损耗及费用只用模型内口径。</v>
      </c>
    </row>
    <row r="36" ht="44" customHeight="1">
      <c r="B36" s="125"/>
      <c r="C36" s="153"/>
      <c r="D36" s="153"/>
      <c r="E36" s="125"/>
      <c r="F36" s="136"/>
    </row>
    <row r="37" ht="60" customHeight="1">
      <c r="B37" s="125" t="str">
        <v>订单分类提示</v>
      </c>
      <c r="C37" s="153" t="str">
        <f>IF(COUNT(C28:C34)&lt;7,"填齐7个数量",IF(MIN(C28:C34)&lt;0,"数量不能为负",IF(SUM(C28:C34)&lt;&gt;SUM(INT(C28),INT(C29),INT(C30),INT(C31),INT(C32),INT(C33),INT(C34)),"数量须为整数",IF(C28&lt;&gt;SUM(C29:C34),"分类之和不等于总数",IF(SUM(C29:C30)=0,"没有模型内订单","")))))</f>
      </c>
      <c r="D37" s="153"/>
      <c r="E37" s="125" t="str"/>
      <c r="F37" s="136" t="str">
        <v>数量为非负整数；不能把待结束售后的订单混入本批。</v>
      </c>
    </row>
    <row r="38" ht="44" customHeight="1">
      <c r="B38" s="125"/>
      <c r="C38" s="153"/>
      <c r="D38" s="153"/>
      <c r="E38" s="125"/>
      <c r="F38" s="136"/>
    </row>
    <row r="39" ht="44" customHeight="1">
      <c r="B39" s="125"/>
      <c r="C39" s="153"/>
      <c r="D39" s="153"/>
      <c r="E39" s="125"/>
      <c r="F39" s="136"/>
    </row>
    <row r="40" ht="31" customHeight="1">
      <c r="B40" s="160" t="str">
        <v>2. 两类费用总额</v>
      </c>
      <c r="C40" s="161" t="str">
        <v>正常完成</v>
      </c>
      <c r="D40" s="161" t="str">
        <v>退货</v>
      </c>
      <c r="E40" s="160"/>
      <c r="F40" s="160" t="str">
        <v>本区填写总额，不是单笔金额。</v>
      </c>
    </row>
    <row r="41" ht="60" customHeight="1">
      <c r="B41" s="125" t="str">
        <v>收入 / 保留收入总额</v>
      </c>
      <c r="C41" s="162" t="n">
        <v>1602</v>
      </c>
      <c r="D41" s="162" t="n">
        <v>0</v>
      </c>
      <c r="E41" s="125" t="str">
        <v>元</v>
      </c>
      <c r="F41" s="136" t="str">
        <v>正常用本类订单收入，退货用最终保留收入。可用扣费前或净收入；已扣费用下方填0。</v>
      </c>
    </row>
    <row r="42" ht="60" customHeight="1">
      <c r="B42" s="125" t="str">
        <v>商品费用 / 损耗总额</v>
      </c>
      <c r="C42" s="162" t="n">
        <v>586.8</v>
      </c>
      <c r="D42" s="153" t="n">
        <f>IF(D60="",D59,"")</f>
        <v>43.599999999999994</v>
      </c>
      <c r="E42" s="125" t="str">
        <v>元</v>
      </c>
      <c r="F42" s="136" t="str">
        <v>正常填实际计入的商品成本；退货自动取第59行不可回收成本，勿再加完整回库商品成本。</v>
      </c>
    </row>
    <row r="43" ht="60" customHeight="1">
      <c r="B43" s="125" t="str">
        <v>物流总额</v>
      </c>
      <c r="C43" s="162" t="n">
        <v>98.4</v>
      </c>
      <c r="D43" s="162" t="n">
        <v>39.7</v>
      </c>
      <c r="E43" s="125" t="str">
        <v>元</v>
      </c>
      <c r="F43" s="136" t="str">
        <v>正常填出库总额；退货填卖家承担的出库+回程总额。</v>
      </c>
    </row>
    <row r="44" ht="60" customHeight="1">
      <c r="B44" s="125" t="str">
        <v>平台费用总额</v>
      </c>
      <c r="C44" s="162" t="n">
        <v>83.7</v>
      </c>
      <c r="D44" s="162" t="n">
        <v>3.27</v>
      </c>
      <c r="E44" s="125" t="str">
        <v>元</v>
      </c>
      <c r="F44" s="136" t="str">
        <v>最终由本类承担且尚未从收入扣除的费用。已扣的对应填0。</v>
      </c>
    </row>
    <row r="45" ht="60" customHeight="1">
      <c r="B45" s="125" t="str">
        <v>广告费用（自动）</v>
      </c>
      <c r="C45" s="153" t="n">
        <f>IF(C54="",IF(C52="平均分摊",C51*C29/C35,C53),"")</f>
        <v>146.1</v>
      </c>
      <c r="D45" s="153" t="n">
        <f>IF(C54="",IF(C52="平均分摊",C51*C30/C35,D53),"")</f>
        <v>24.65</v>
      </c>
      <c r="E45" s="125" t="str">
        <v>元</v>
      </c>
      <c r="F45" s="136" t="str">
        <v>由第51至54行归集，范围外订单广告先剔除另算。</v>
      </c>
    </row>
    <row r="46" ht="60" customHeight="1">
      <c r="B46" s="125" t="str">
        <v>包装总额</v>
      </c>
      <c r="C46" s="162" t="n">
        <v>29.7</v>
      </c>
      <c r="D46" s="162" t="n">
        <v>4.95</v>
      </c>
      <c r="E46" s="125" t="str">
        <v>元</v>
      </c>
      <c r="F46" s="136" t="str">
        <v>如已包含在商品成本或收入已扣，本项填0。</v>
      </c>
    </row>
    <row r="47" ht="60" customHeight="1">
      <c r="B47" s="125" t="str">
        <v>已付计件人工总额</v>
      </c>
      <c r="C47" s="162" t="n">
        <v>39.6</v>
      </c>
      <c r="D47" s="162" t="n">
        <v>6.6</v>
      </c>
      <c r="E47" s="125" t="str">
        <v>元</v>
      </c>
      <c r="F47" s="136" t="str">
        <v>只填随本批订单变化的已付人工；已计商品成本勿重复。固定工资及店主自有时间另算。</v>
      </c>
    </row>
    <row r="48" ht="60" customHeight="1">
      <c r="B48" s="125" t="str">
        <v>其他变动成本总额</v>
      </c>
      <c r="C48" s="162" t="n">
        <v>0.9</v>
      </c>
      <c r="D48" s="162" t="n">
        <v>4.5</v>
      </c>
      <c r="E48" s="125" t="str">
        <v>元</v>
      </c>
      <c r="F48" s="136" t="str">
        <v>可含按件支付的清洁、检验等；不再含上方已列成本。</v>
      </c>
    </row>
    <row r="49" ht="44" customHeight="1">
      <c r="B49" s="125"/>
      <c r="C49" s="153"/>
      <c r="D49" s="153"/>
      <c r="E49" s="125"/>
      <c r="F49" s="136"/>
    </row>
    <row r="50" ht="31" customHeight="1">
      <c r="B50" s="160" t="str">
        <v>3. 广告归因与分摊</v>
      </c>
      <c r="C50" s="161"/>
      <c r="D50" s="161"/>
      <c r="E50" s="160"/>
      <c r="F50" s="160"/>
    </row>
    <row r="51" ht="63" customHeight="1">
      <c r="B51" s="125" t="str">
        <v>模型内可归因广告总额</v>
      </c>
      <c r="C51" s="162" t="n">
        <v>170.75</v>
      </c>
      <c r="D51" s="153"/>
      <c r="E51" s="125" t="str">
        <v>元</v>
      </c>
      <c r="F51" s="136" t="str">
        <v>同商品同批，仅正常+退货订单。剔除范围外订单费用；没有投放填0，归因未知留空。</v>
      </c>
    </row>
    <row r="52" ht="63" customHeight="1">
      <c r="B52" s="125" t="str">
        <v>广告分摊方式</v>
      </c>
      <c r="C52" s="162" t="str">
        <v>分别归集</v>
      </c>
      <c r="D52" s="153"/>
      <c r="E52" s="125" t="str"/>
      <c r="F52" s="136" t="str">
        <v>平均分摊：总额÷模型内单数，两类同均值。分别归集：填下一行两类金额。</v>
      </c>
    </row>
    <row r="53" ht="63" customHeight="1">
      <c r="B53" s="125" t="str">
        <v>分别归集的广告总额</v>
      </c>
      <c r="C53" s="162" t="n">
        <v>146.1</v>
      </c>
      <c r="D53" s="162" t="n">
        <v>24.65</v>
      </c>
      <c r="E53" s="125" t="str">
        <v>元</v>
      </c>
      <c r="F53" s="136" t="str">
        <v>只有选择分别归集才使用本行；两类之和须等于第51行。平均模式可留空。</v>
      </c>
    </row>
    <row r="54" ht="63" customHeight="1">
      <c r="B54" s="125" t="str">
        <v>广告输入提示</v>
      </c>
      <c r="C54" s="153" t="str">
        <f>IF(C37&lt;&gt;"","先核对订单分类",IF(COUNT(C51)=0,"填写广告总额",IF(C51&lt;0,"广告不能为负",IF(C52="平均分摊","",IF(C52="分别归集",IF(COUNT(C53:D53)&lt;2,"填齐两类广告总额",IF(MIN(C53:D53)&lt;0,"广告不能为负",IF(ABS(SUM(C53:D53)-C51)&gt;0.005,"两类广告之和不符",""))),"选择分摊方式")))))</f>
      </c>
      <c r="D54" s="153"/>
      <c r="E54" s="125" t="str"/>
      <c r="F54" s="136" t="str">
        <v>两类广告成本不同也可填；账单的归因是否合理需自行确认。</v>
      </c>
    </row>
    <row r="55" ht="44" customHeight="1">
      <c r="B55" s="125"/>
      <c r="C55" s="153"/>
      <c r="D55" s="153"/>
      <c r="E55" s="125"/>
      <c r="F55" s="136"/>
    </row>
    <row r="56" ht="31" customHeight="1">
      <c r="B56" s="160" t="str">
        <v>4. 退回商品原成本与可回收成本</v>
      </c>
      <c r="C56" s="161"/>
      <c r="D56" s="161"/>
      <c r="E56" s="160"/>
      <c r="F56" s="160"/>
    </row>
    <row r="57" ht="62" customHeight="1">
      <c r="B57" s="125" t="str">
        <v>退回商品原成本总额</v>
      </c>
      <c r="C57" s="153"/>
      <c r="D57" s="162" t="n">
        <v>97.8</v>
      </c>
      <c r="E57" s="125" t="str">
        <v>元</v>
      </c>
      <c r="F57" s="136" t="str">
        <v>只指本批退货商品；按商品原成本归集。例4件×38=152。包装/人工若已包含勿再计。</v>
      </c>
    </row>
    <row r="58" ht="62" customHeight="1">
      <c r="B58" s="125" t="str">
        <v>可回收成本总额</v>
      </c>
      <c r="C58" s="153"/>
      <c r="D58" s="162" t="n">
        <v>54.2</v>
      </c>
      <c r="E58" s="125" t="str">
        <v>元</v>
      </c>
      <c r="F58" s="136" t="str">
        <v>完整可再卖按原成本；拆件回收按有依据的成本部分，不按未来售价。例仅1件可回收24，合计24。</v>
      </c>
    </row>
    <row r="59" ht="62" customHeight="1">
      <c r="B59" s="125" t="str">
        <v>不可回收成本总额</v>
      </c>
      <c r="C59" s="153"/>
      <c r="D59" s="153" t="n">
        <f>IF(D60="",D57-D58,"")</f>
        <v>43.599999999999994</v>
      </c>
      <c r="E59" s="125" t="str">
        <v>元</v>
      </c>
      <c r="F59" s="136" t="str">
        <v>原成本-可回收成本。例152-24=128，4件平均32。</v>
      </c>
    </row>
    <row r="60" ht="62" customHeight="1">
      <c r="B60" s="125" t="str">
        <v>回收成本输入提示</v>
      </c>
      <c r="C60" s="153"/>
      <c r="D60" s="153" t="str">
        <f>IF(COUNT(D57:D58)&lt;2,"填齐两项成本",IF(MIN(D57:D58)&lt;0,"成本不能为负",IF(D58&gt;D57,"回收不能超过原成本","")))</f>
      </c>
      <c r="E60" s="125" t="str"/>
      <c r="F60" s="136" t="str">
        <v>回收依据不明先留空；不得为算出结果编造0。可回收成本不得超过原成本。</v>
      </c>
    </row>
    <row r="61" ht="44" customHeight="1">
      <c r="B61" s="125"/>
      <c r="C61" s="153"/>
      <c r="D61" s="153"/>
      <c r="E61" s="125"/>
      <c r="F61" s="136"/>
    </row>
    <row r="62" ht="65" customHeight="1">
      <c r="B62" s="125" t="str">
        <v>费用输入提示</v>
      </c>
      <c r="C62" s="153" t="str">
        <f>IF(C37&lt;&gt;"","先核对订单分类",IF(C54&lt;&gt;"","先核对广告",IF(COUNT(C41:C48)&lt;8,"填齐本类费用总额",IF(MIN(C41:C48)&lt;0,"金额不能为负",IF(AND(C29=0,SUM(C41:C48)&lt;&gt;0),"零单类别金额须为0","")))))</f>
      </c>
      <c r="D62" s="153" t="str">
        <f>IF(C37&lt;&gt;"","先核对订单分类",IF(C54&lt;&gt;"","先核对广告",IF(D60&lt;&gt;"","先核对回收成本",IF(COUNT(D41:D48)&lt;8,"填齐本类费用总额",IF(MIN(D41:D48)&lt;0,"金额不能为负",IF(AND(C30=0,SUM(D41:D48)&lt;&gt;0),"零单类别金额须为0",""))))))</f>
      </c>
      <c r="E62" s="125" t="str"/>
      <c r="F62" s="136" t="str">
        <v>包含本类收入与各项费用；零单类别所有总额须填0，不能用缺失代替0。</v>
      </c>
    </row>
    <row r="63" ht="44" customHeight="1">
      <c r="B63" s="125"/>
      <c r="C63" s="153"/>
      <c r="D63" s="153"/>
      <c r="E63" s="125"/>
      <c r="F63" s="136"/>
    </row>
    <row r="64" ht="44" customHeight="1">
      <c r="B64" s="125"/>
      <c r="C64" s="153"/>
      <c r="D64" s="153"/>
      <c r="E64" s="125"/>
      <c r="F64" s="136"/>
    </row>
    <row r="65" ht="31" customHeight="1">
      <c r="B65" s="160" t="str">
        <v>混合售后分母示例（全部虚构）</v>
      </c>
      <c r="C65" s="161"/>
      <c r="D65" s="161"/>
      <c r="E65" s="160"/>
      <c r="F65" s="160"/>
    </row>
    <row r="66" ht="66" customHeight="1">
      <c r="B66" s="125" t="str">
        <v>40笔记录，39笔已发货</v>
      </c>
      <c r="C66" s="153"/>
      <c r="D66" s="153"/>
      <c r="E66" s="125" t="str"/>
      <c r="F66" s="136" t="str">
        <v>32正常+4退货+1未发货取消+2仅退款未退货+1换货=40。各类互斥。</v>
      </c>
    </row>
    <row r="67" ht="66" customHeight="1">
      <c r="B67" s="125" t="str">
        <v>模型内只有36笔</v>
      </c>
      <c r="C67" s="153"/>
      <c r="D67" s="153"/>
      <c r="E67" s="125" t="str"/>
      <c r="F67" s="136" t="str">
        <v>退货比例=4÷(32+4)=11.11%。不使用40或39作分母，排除类别的收入费用也另算。</v>
      </c>
    </row>
    <row r="68" ht="66" customHeight="1">
      <c r="B68" s="125" t="str">
        <v>广告也需匹配36笔</v>
      </c>
      <c r="C68" s="153"/>
      <c r="D68" s="153"/>
      <c r="E68" s="125" t="str"/>
      <c r="F68" s="136" t="str">
        <v>若广告账单覆盖全部40笔，先归因剔除范围外部分；不能把全部广告直接分到36笔。</v>
      </c>
    </row>
    <row r="69" ht="66" customHeight="1">
      <c r="B69" s="125"/>
      <c r="C69" s="153"/>
      <c r="D69" s="153"/>
      <c r="E69" s="125"/>
      <c r="F69" s="136"/>
    </row>
    <row r="70" ht="31" customHeight="1">
      <c r="B70" s="160" t="str">
        <v>人工与部分回收</v>
      </c>
      <c r="C70" s="161"/>
      <c r="D70" s="161"/>
      <c r="E70" s="160"/>
      <c r="F70" s="160"/>
    </row>
    <row r="71" ht="66" customHeight="1">
      <c r="B71" s="125" t="str">
        <v>实际已付计件人工</v>
      </c>
      <c r="C71" s="153"/>
      <c r="D71" s="153"/>
      <c r="E71" s="125" t="str"/>
      <c r="F71" s="136" t="str">
        <v>例如每件支付22元，正常32件填704、退货4件填88。归入其他成本；若商品成本已含人工，本处填0。</v>
      </c>
    </row>
    <row r="72" ht="66" customHeight="1">
      <c r="B72" s="125" t="str">
        <v>店主自有时间与固定工资</v>
      </c>
      <c r="C72" s="153"/>
      <c r="D72" s="153"/>
      <c r="E72" s="125" t="str"/>
      <c r="F72" s="136" t="str">
        <v>店主未付劳动不列作已付成本；另按分钟÷60×时薪比较收入。例30分钟×40元/小时=20元/单。固定工资另算。</v>
      </c>
    </row>
    <row r="73" ht="66" customHeight="1">
      <c r="B73" s="125" t="str">
        <v>部分回收按成本估值</v>
      </c>
      <c r="C73" s="153"/>
      <c r="D73" s="153"/>
      <c r="E73" s="125" t="str"/>
      <c r="F73" s="136" t="str">
        <v>4件原成本各38；3件全损，1件能回收24。损失3×38+(38-24)=128，总额平均128÷4=32。</v>
      </c>
    </row>
    <row r="74" ht="66" customHeight="1">
      <c r="B74" s="125" t="str">
        <v>证据与重复扣费</v>
      </c>
      <c r="C74" s="153"/>
      <c r="D74" s="153"/>
      <c r="E74" s="125" t="str"/>
      <c r="F74" s="136" t="str">
        <v>回收不等于已收到现金。保留验货/残值依据；收入已扣、商品成本已含的包装和人工不再列支。</v>
      </c>
    </row>
    <row r="75" ht="66" customHeight="1">
      <c r="B75" s="125"/>
      <c r="C75" s="153"/>
      <c r="D75" s="153"/>
      <c r="E75" s="125"/>
      <c r="F75" s="136"/>
    </row>
    <row r="76" ht="31" customHeight="1">
      <c r="B76" s="160" t="str">
        <v>整批金额与显示舍入</v>
      </c>
      <c r="C76" s="161"/>
      <c r="D76" s="161"/>
      <c r="E76" s="160"/>
      <c r="F76" s="160"/>
    </row>
    <row r="77" ht="66" customHeight="1">
      <c r="B77" s="125" t="str">
        <v>11.89元不能反推精确合计</v>
      </c>
      <c r="C77" s="153"/>
      <c r="D77" s="153"/>
      <c r="E77" s="125" t="str"/>
      <c r="F77" s="136" t="str">
        <v>示例整批1188.75÷100=11.8875，单均显示11.89；11.89×100=1189.00，多0.25元。</v>
      </c>
    </row>
    <row r="78" ht="66" customHeight="1">
      <c r="B78" s="125" t="str">
        <v>本页整批贡献直接按总额算</v>
      </c>
      <c r="C78" s="153"/>
      <c r="D78" s="153"/>
      <c r="E78" s="125" t="str"/>
      <c r="F78" s="136" t="str">
        <v>第18行保留整批计算，第19行未提前舍入。场景页两类贡献及单均按分舍入，可能有微小差异。</v>
      </c>
    </row>
    <row r="79" ht="66" customHeight="1">
      <c r="B79" s="125" t="str">
        <v>适用范围</v>
      </c>
      <c r="C79" s="153"/>
      <c r="D79" s="153"/>
      <c r="E79" s="125" t="str"/>
      <c r="F79" s="136" t="str">
        <v>以上仅覆盖正常完成与退货两类，不含其他售后类别、固定成本、所得税、现金流或自有劳动估值。</v>
      </c>
    </row>
  </sheetData>
  <sheetProtection sheet="1" objects="1" scenarios="1" formatRows="0" selectLockedCells="0" selectUnlockedCells="0"/>
  <conditionalFormatting sqref="C21:D21">
    <cfRule type="expression" dxfId="48" priority="1">
      <formula>C21&lt;&gt;""</formula>
    </cfRule>
  </conditionalFormatting>
  <conditionalFormatting sqref="C37:C37">
    <cfRule type="expression" dxfId="49" priority="2">
      <formula>C37&lt;&gt;""</formula>
    </cfRule>
  </conditionalFormatting>
  <conditionalFormatting sqref="C54:C54">
    <cfRule type="expression" dxfId="50" priority="3">
      <formula>C54&lt;&gt;""</formula>
    </cfRule>
  </conditionalFormatting>
  <conditionalFormatting sqref="D60:D60">
    <cfRule type="expression" dxfId="51" priority="4">
      <formula>D60&lt;&gt;""</formula>
    </cfRule>
  </conditionalFormatting>
  <conditionalFormatting sqref="C62:D62">
    <cfRule type="expression" dxfId="52" priority="5">
      <formula>C62&lt;&gt;""</formula>
    </cfRule>
  </conditionalFormatting>
  <conditionalFormatting sqref="C16:D16">
    <cfRule type="cellIs" dxfId="53" priority="6" operator="lessThan">
      <formula>0</formula>
    </cfRule>
  </conditionalFormatting>
  <conditionalFormatting sqref="C18:C20">
    <cfRule type="cellIs" dxfId="54" priority="7" operator="lessThan">
      <formula>0</formula>
    </cfRule>
  </conditionalFormatting>
  <dataValidations count="1">
    <dataValidation type="list" sqref="C52">
      <formula1>"平均分摊,分别归集"</formula1>
    </dataValidation>
  </dataValidations>
  <pageMargins left="0.7" right="0.7" top="0.75" bottom="0.75" header="0.3" footer="0.3"/>
</worksheet>
</file>